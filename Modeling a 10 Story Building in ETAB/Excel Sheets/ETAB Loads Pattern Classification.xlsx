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"/>
    </mc:Choice>
  </mc:AlternateContent>
  <xr:revisionPtr revIDLastSave="0" documentId="13_ncr:1_{B8A03C47-F0D2-42FC-93F2-1613800EDD1D}" xr6:coauthVersionLast="47" xr6:coauthVersionMax="47" xr10:uidLastSave="{00000000-0000-0000-0000-000000000000}"/>
  <bookViews>
    <workbookView xWindow="-120" yWindow="-120" windowWidth="20730" windowHeight="11310" tabRatio="500" activeTab="1" xr2:uid="{00000000-000D-0000-FFFF-FFFF00000000}"/>
  </bookViews>
  <sheets>
    <sheet name="Reference Matrix" sheetId="1" r:id="rId1"/>
    <sheet name="Dashboard" sheetId="2" r:id="rId2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2" l="1"/>
  <c r="C24" i="2" s="1"/>
  <c r="B24" i="2"/>
  <c r="A24" i="2"/>
  <c r="D23" i="2"/>
  <c r="C23" i="2" s="1"/>
  <c r="B23" i="2"/>
  <c r="A23" i="2"/>
  <c r="D22" i="2"/>
  <c r="C22" i="2" s="1"/>
  <c r="B22" i="2"/>
  <c r="A22" i="2"/>
  <c r="D21" i="2"/>
  <c r="C21" i="2" s="1"/>
  <c r="B21" i="2"/>
  <c r="A21" i="2"/>
  <c r="D20" i="2"/>
  <c r="C20" i="2" s="1"/>
  <c r="B20" i="2"/>
  <c r="A20" i="2"/>
  <c r="D19" i="2"/>
  <c r="C19" i="2" s="1"/>
  <c r="B19" i="2"/>
  <c r="A19" i="2"/>
  <c r="D18" i="2"/>
  <c r="C18" i="2" s="1"/>
  <c r="B18" i="2"/>
  <c r="A18" i="2"/>
  <c r="D17" i="2"/>
  <c r="C17" i="2" s="1"/>
  <c r="B17" i="2"/>
  <c r="A17" i="2"/>
  <c r="D16" i="2"/>
  <c r="C16" i="2" s="1"/>
  <c r="B16" i="2"/>
  <c r="A16" i="2"/>
  <c r="D15" i="2"/>
  <c r="C15" i="2" s="1"/>
  <c r="B15" i="2"/>
  <c r="A15" i="2"/>
  <c r="D14" i="2"/>
  <c r="C14" i="2" s="1"/>
  <c r="B14" i="2"/>
  <c r="A14" i="2"/>
  <c r="D13" i="2"/>
  <c r="C13" i="2" s="1"/>
  <c r="B13" i="2"/>
  <c r="A13" i="2"/>
  <c r="D12" i="2"/>
  <c r="C12" i="2" s="1"/>
  <c r="B12" i="2"/>
  <c r="A12" i="2"/>
  <c r="D11" i="2"/>
  <c r="C11" i="2" s="1"/>
  <c r="B11" i="2"/>
  <c r="A11" i="2"/>
  <c r="D10" i="2"/>
  <c r="C10" i="2" s="1"/>
  <c r="B10" i="2"/>
  <c r="A10" i="2"/>
  <c r="D9" i="2"/>
  <c r="C9" i="2" s="1"/>
  <c r="B9" i="2"/>
  <c r="A9" i="2"/>
  <c r="D8" i="2"/>
  <c r="C8" i="2" s="1"/>
  <c r="B8" i="2"/>
  <c r="A8" i="2"/>
  <c r="D7" i="2"/>
  <c r="C7" i="2" s="1"/>
  <c r="B7" i="2"/>
  <c r="A7" i="2"/>
</calcChain>
</file>

<file path=xl/sharedStrings.xml><?xml version="1.0" encoding="utf-8"?>
<sst xmlns="http://schemas.openxmlformats.org/spreadsheetml/2006/main" count="165" uniqueCount="81">
  <si>
    <t>Load Pattern</t>
  </si>
  <si>
    <t>Category</t>
  </si>
  <si>
    <t>Residential</t>
  </si>
  <si>
    <t>Commercial / Office</t>
  </si>
  <si>
    <t>Industrial / Warehouse</t>
  </si>
  <si>
    <t>High-rise Tower</t>
  </si>
  <si>
    <t>Parking Structure</t>
  </si>
  <si>
    <t>Basement / Podium</t>
  </si>
  <si>
    <t>Dead (D)</t>
  </si>
  <si>
    <t>Gravity</t>
  </si>
  <si>
    <t>Yes - self weight, auto by ETABS</t>
  </si>
  <si>
    <t>Super Dead (SDL)</t>
  </si>
  <si>
    <t>Yes - finishes, MEP ~1.0-1.5 kN/m2</t>
  </si>
  <si>
    <t>Yes - ceiling, MEP, raised floor</t>
  </si>
  <si>
    <t>Yes - roofing, light MEP</t>
  </si>
  <si>
    <t>Yes - finishes, MEP, facade</t>
  </si>
  <si>
    <t>Yes - waterproofing, light finishes</t>
  </si>
  <si>
    <t>Yes - finishes, MEP</t>
  </si>
  <si>
    <t>Live (L)</t>
  </si>
  <si>
    <t>Yes - ~1.9-2.0 kN/m2, balconies higher</t>
  </si>
  <si>
    <t>Yes - ~2.4 kN/m2, corridors higher</t>
  </si>
  <si>
    <t>Yes - 6-12 kN/m2 storage/racking</t>
  </si>
  <si>
    <t>Yes - per occupancy, floor by floor</t>
  </si>
  <si>
    <t>Yes - ~2.0 kN/m2, reducible per code</t>
  </si>
  <si>
    <t>Yes - per occupancy above</t>
  </si>
  <si>
    <t>Roof Live (LR)</t>
  </si>
  <si>
    <t>Yes - ~1.0 kN/m2 or per code</t>
  </si>
  <si>
    <t>Yes - plant/mechanical roof loads</t>
  </si>
  <si>
    <t>-</t>
  </si>
  <si>
    <t>Yes - mechanical penthouse, amenity roof</t>
  </si>
  <si>
    <t>Partition Load</t>
  </si>
  <si>
    <t>Yes - ~1.0 kN/m2, often folded into SDL</t>
  </si>
  <si>
    <t>Yes - demountable partitions</t>
  </si>
  <si>
    <t>Snow (S)</t>
  </si>
  <si>
    <t>If snow region - per ground snow load</t>
  </si>
  <si>
    <t>If snow region</t>
  </si>
  <si>
    <t>Yes - if applicable climate zone</t>
  </si>
  <si>
    <t>Crane Load</t>
  </si>
  <si>
    <t>Yes - vertical + lateral, if crane runway</t>
  </si>
  <si>
    <t>Ramp / Vehicle Load</t>
  </si>
  <si>
    <t>Yes - include impact factor on ramps</t>
  </si>
  <si>
    <t>Wind (WX)</t>
  </si>
  <si>
    <t>Lateral</t>
  </si>
  <si>
    <t>Yes - per ASCE 7 / local code</t>
  </si>
  <si>
    <t>Yes - check torsional case</t>
  </si>
  <si>
    <t>Yes - large exposed roof/wall areas</t>
  </si>
  <si>
    <t>Yes - dynamic/gust factor, wind tunnel often</t>
  </si>
  <si>
    <t>Yes - open structure, low shielding</t>
  </si>
  <si>
    <t>Yes - acts on superstructure above grade</t>
  </si>
  <si>
    <t>Wind (WY)</t>
  </si>
  <si>
    <t>Wind Torsion / Eccentric</t>
  </si>
  <si>
    <t>Yes - eccentric wind case</t>
  </si>
  <si>
    <t>Yes - required for irregular plan/tall towers</t>
  </si>
  <si>
    <t>Seismic (EX)</t>
  </si>
  <si>
    <t>Yes - static or RSA per zone</t>
  </si>
  <si>
    <t>Yes - RSA typical for mid-rise+</t>
  </si>
  <si>
    <t>Yes - watch tall/slender frames</t>
  </si>
  <si>
    <t>Yes - response spectrum or time history</t>
  </si>
  <si>
    <t>Yes - per code</t>
  </si>
  <si>
    <t>Yes - superstructure seismic still applies</t>
  </si>
  <si>
    <t>Seismic (EY)</t>
  </si>
  <si>
    <t>Notional Load</t>
  </si>
  <si>
    <t>Yes - 0.2-0.5% of gravity load</t>
  </si>
  <si>
    <t>Yes - stability check</t>
  </si>
  <si>
    <t>Yes - stability, P-Delta sensitive</t>
  </si>
  <si>
    <t>Temperature (T)</t>
  </si>
  <si>
    <t>Site-specific</t>
  </si>
  <si>
    <t>Yes - thermal gradient on facade/frame</t>
  </si>
  <si>
    <t>Lateral Earth Pressure</t>
  </si>
  <si>
    <t>Yes - at-rest or active, per soil report</t>
  </si>
  <si>
    <t>Hydrostatic Pressure</t>
  </si>
  <si>
    <t>If water table above basement level</t>
  </si>
  <si>
    <t>Surcharge Load</t>
  </si>
  <si>
    <t>Yes - adjacent traffic/construction</t>
  </si>
  <si>
    <t>ETABS Load Pattern Dashboard</t>
  </si>
  <si>
    <t>Select a building type to see required load patterns</t>
  </si>
  <si>
    <t>Building type:</t>
  </si>
  <si>
    <t>Required?</t>
  </si>
  <si>
    <t>Typical value / note</t>
  </si>
  <si>
    <t>Category legend:</t>
  </si>
  <si>
    <t>Values are typical starting points only - always confirm against the governing code (ASCE 7 / IS 875 / EN 1991 etc.) and project-specific geotechnical, wind, and seismic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</si>
</sst>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rgb="FFF2F2F2"/>
        </patternFill>
      </fill>
    </dxf>
    <dxf>
      <fill>
        <patternFill>
          <bgColor rgb="FFC6E0B4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2E7D32"/>
      <rgbColor rgb="FF003300"/>
      <rgbColor rgb="FF333300"/>
      <rgbColor rgb="FFB23C17"/>
      <rgbColor rgb="FF993366"/>
      <rgbColor rgb="FF534AB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10" sqref="H10"/>
    </sheetView>
  </sheetViews>
  <sheetFormatPr defaultColWidth="8.7109375" defaultRowHeight="15" x14ac:dyDescent="0.25"/>
  <cols>
    <col min="1" max="1" width="24" style="1" customWidth="1"/>
    <col min="2" max="2" width="13" style="1" customWidth="1"/>
    <col min="3" max="8" width="30" style="1" customWidth="1"/>
    <col min="9" max="16384" width="8.7109375" style="1"/>
  </cols>
  <sheetData>
    <row r="1" spans="1:8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2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</row>
    <row r="3" spans="1:8" x14ac:dyDescent="0.25">
      <c r="A3" s="2" t="s">
        <v>11</v>
      </c>
      <c r="B3" s="2" t="s">
        <v>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ht="25.5" x14ac:dyDescent="0.25">
      <c r="A4" s="2" t="s">
        <v>18</v>
      </c>
      <c r="B4" s="2" t="s">
        <v>9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 ht="25.5" x14ac:dyDescent="0.25">
      <c r="A5" s="2" t="s">
        <v>25</v>
      </c>
      <c r="B5" s="2" t="s">
        <v>9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28</v>
      </c>
      <c r="H5" s="3" t="s">
        <v>28</v>
      </c>
    </row>
    <row r="6" spans="1:8" ht="25.5" x14ac:dyDescent="0.25">
      <c r="A6" s="2" t="s">
        <v>30</v>
      </c>
      <c r="B6" s="2" t="s">
        <v>9</v>
      </c>
      <c r="C6" s="3" t="s">
        <v>28</v>
      </c>
      <c r="D6" s="3" t="s">
        <v>31</v>
      </c>
      <c r="E6" s="3" t="s">
        <v>28</v>
      </c>
      <c r="F6" s="3" t="s">
        <v>32</v>
      </c>
      <c r="G6" s="3" t="s">
        <v>28</v>
      </c>
      <c r="H6" s="3" t="s">
        <v>28</v>
      </c>
    </row>
    <row r="7" spans="1:8" ht="25.5" x14ac:dyDescent="0.25">
      <c r="A7" s="2" t="s">
        <v>33</v>
      </c>
      <c r="B7" s="2" t="s">
        <v>9</v>
      </c>
      <c r="C7" s="3" t="s">
        <v>34</v>
      </c>
      <c r="D7" s="3" t="s">
        <v>35</v>
      </c>
      <c r="E7" s="3" t="s">
        <v>36</v>
      </c>
      <c r="F7" s="3" t="s">
        <v>35</v>
      </c>
      <c r="G7" s="3" t="s">
        <v>28</v>
      </c>
      <c r="H7" s="3" t="s">
        <v>28</v>
      </c>
    </row>
    <row r="8" spans="1:8" ht="25.5" x14ac:dyDescent="0.25">
      <c r="A8" s="2" t="s">
        <v>37</v>
      </c>
      <c r="B8" s="2" t="s">
        <v>9</v>
      </c>
      <c r="C8" s="3" t="s">
        <v>28</v>
      </c>
      <c r="D8" s="3" t="s">
        <v>28</v>
      </c>
      <c r="E8" s="3" t="s">
        <v>38</v>
      </c>
      <c r="F8" s="3" t="s">
        <v>28</v>
      </c>
      <c r="G8" s="3" t="s">
        <v>28</v>
      </c>
      <c r="H8" s="3" t="s">
        <v>28</v>
      </c>
    </row>
    <row r="9" spans="1:8" x14ac:dyDescent="0.25">
      <c r="A9" s="2" t="s">
        <v>39</v>
      </c>
      <c r="B9" s="2" t="s">
        <v>9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40</v>
      </c>
      <c r="H9" s="3" t="s">
        <v>28</v>
      </c>
    </row>
    <row r="10" spans="1:8" ht="25.5" x14ac:dyDescent="0.25">
      <c r="A10" s="2" t="s">
        <v>41</v>
      </c>
      <c r="B10" s="2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</row>
    <row r="11" spans="1:8" ht="25.5" x14ac:dyDescent="0.25">
      <c r="A11" s="2" t="s">
        <v>49</v>
      </c>
      <c r="B11" s="2" t="s">
        <v>42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48</v>
      </c>
    </row>
    <row r="12" spans="1:8" ht="25.5" x14ac:dyDescent="0.25">
      <c r="A12" s="2" t="s">
        <v>50</v>
      </c>
      <c r="B12" s="2" t="s">
        <v>42</v>
      </c>
      <c r="C12" s="3" t="s">
        <v>28</v>
      </c>
      <c r="D12" s="3" t="s">
        <v>51</v>
      </c>
      <c r="E12" s="3" t="s">
        <v>28</v>
      </c>
      <c r="F12" s="3" t="s">
        <v>52</v>
      </c>
      <c r="G12" s="3" t="s">
        <v>28</v>
      </c>
      <c r="H12" s="3" t="s">
        <v>28</v>
      </c>
    </row>
    <row r="13" spans="1:8" ht="25.5" x14ac:dyDescent="0.25">
      <c r="A13" s="2" t="s">
        <v>53</v>
      </c>
      <c r="B13" s="2" t="s">
        <v>42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</row>
    <row r="14" spans="1:8" ht="25.5" x14ac:dyDescent="0.25">
      <c r="A14" s="2" t="s">
        <v>60</v>
      </c>
      <c r="B14" s="2" t="s">
        <v>42</v>
      </c>
      <c r="C14" s="3" t="s">
        <v>54</v>
      </c>
      <c r="D14" s="3" t="s">
        <v>55</v>
      </c>
      <c r="E14" s="3" t="s">
        <v>56</v>
      </c>
      <c r="F14" s="3" t="s">
        <v>57</v>
      </c>
      <c r="G14" s="3" t="s">
        <v>58</v>
      </c>
      <c r="H14" s="3" t="s">
        <v>59</v>
      </c>
    </row>
    <row r="15" spans="1:8" x14ac:dyDescent="0.25">
      <c r="A15" s="2" t="s">
        <v>61</v>
      </c>
      <c r="B15" s="2" t="s">
        <v>42</v>
      </c>
      <c r="C15" s="3" t="s">
        <v>62</v>
      </c>
      <c r="D15" s="3" t="s">
        <v>63</v>
      </c>
      <c r="E15" s="3" t="s">
        <v>63</v>
      </c>
      <c r="F15" s="3" t="s">
        <v>64</v>
      </c>
      <c r="G15" s="3" t="s">
        <v>63</v>
      </c>
      <c r="H15" s="3" t="s">
        <v>28</v>
      </c>
    </row>
    <row r="16" spans="1:8" ht="25.5" x14ac:dyDescent="0.25">
      <c r="A16" s="2" t="s">
        <v>65</v>
      </c>
      <c r="B16" s="2" t="s">
        <v>66</v>
      </c>
      <c r="C16" s="3" t="s">
        <v>28</v>
      </c>
      <c r="D16" s="3" t="s">
        <v>28</v>
      </c>
      <c r="E16" s="3" t="s">
        <v>28</v>
      </c>
      <c r="F16" s="3" t="s">
        <v>67</v>
      </c>
      <c r="G16" s="3" t="s">
        <v>28</v>
      </c>
      <c r="H16" s="3" t="s">
        <v>28</v>
      </c>
    </row>
    <row r="17" spans="1:8" x14ac:dyDescent="0.25">
      <c r="A17" s="2" t="s">
        <v>68</v>
      </c>
      <c r="B17" s="2" t="s">
        <v>66</v>
      </c>
      <c r="C17" s="3" t="s">
        <v>28</v>
      </c>
      <c r="D17" s="3" t="s">
        <v>28</v>
      </c>
      <c r="E17" s="3" t="s">
        <v>28</v>
      </c>
      <c r="F17" s="3" t="s">
        <v>28</v>
      </c>
      <c r="G17" s="3" t="s">
        <v>28</v>
      </c>
      <c r="H17" s="3" t="s">
        <v>69</v>
      </c>
    </row>
    <row r="18" spans="1:8" x14ac:dyDescent="0.25">
      <c r="A18" s="2" t="s">
        <v>70</v>
      </c>
      <c r="B18" s="2" t="s">
        <v>66</v>
      </c>
      <c r="C18" s="3" t="s">
        <v>28</v>
      </c>
      <c r="D18" s="3" t="s">
        <v>28</v>
      </c>
      <c r="E18" s="3" t="s">
        <v>28</v>
      </c>
      <c r="F18" s="3" t="s">
        <v>28</v>
      </c>
      <c r="G18" s="3" t="s">
        <v>28</v>
      </c>
      <c r="H18" s="3" t="s">
        <v>71</v>
      </c>
    </row>
    <row r="19" spans="1:8" x14ac:dyDescent="0.25">
      <c r="A19" s="2" t="s">
        <v>72</v>
      </c>
      <c r="B19" s="2" t="s">
        <v>66</v>
      </c>
      <c r="C19" s="3" t="s">
        <v>28</v>
      </c>
      <c r="D19" s="3" t="s">
        <v>28</v>
      </c>
      <c r="E19" s="3" t="s">
        <v>28</v>
      </c>
      <c r="F19" s="3" t="s">
        <v>28</v>
      </c>
      <c r="G19" s="3" t="s">
        <v>28</v>
      </c>
      <c r="H19" s="3" t="s">
        <v>73</v>
      </c>
    </row>
  </sheetData>
  <conditionalFormatting sqref="C2:H19">
    <cfRule type="cellIs" dxfId="2" priority="2" operator="notEqual">
      <formula>"-"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zoomScaleNormal="100" workbookViewId="0">
      <pane ySplit="6" topLeftCell="A7" activePane="bottomLeft" state="frozen"/>
      <selection pane="bottomLeft" activeCell="B4" sqref="B4"/>
    </sheetView>
  </sheetViews>
  <sheetFormatPr defaultColWidth="8.7109375" defaultRowHeight="15" x14ac:dyDescent="0.25"/>
  <cols>
    <col min="1" max="1" width="26" style="1" customWidth="1"/>
    <col min="2" max="2" width="20.7109375" style="1" bestFit="1" customWidth="1"/>
    <col min="3" max="3" width="11" style="1" customWidth="1"/>
    <col min="4" max="4" width="42" style="1" customWidth="1"/>
    <col min="5" max="16384" width="8.7109375" style="1"/>
  </cols>
  <sheetData>
    <row r="1" spans="1:4" ht="20.25" x14ac:dyDescent="0.3">
      <c r="A1" s="4" t="s">
        <v>74</v>
      </c>
    </row>
    <row r="2" spans="1:4" x14ac:dyDescent="0.25">
      <c r="A2" s="1" t="s">
        <v>75</v>
      </c>
    </row>
    <row r="4" spans="1:4" x14ac:dyDescent="0.25">
      <c r="A4" s="1" t="s">
        <v>76</v>
      </c>
      <c r="B4" s="5" t="s">
        <v>2</v>
      </c>
    </row>
    <row r="6" spans="1:4" x14ac:dyDescent="0.25">
      <c r="A6" s="6" t="s">
        <v>0</v>
      </c>
      <c r="B6" s="6" t="s">
        <v>1</v>
      </c>
      <c r="C6" s="6" t="s">
        <v>77</v>
      </c>
      <c r="D6" s="6" t="s">
        <v>78</v>
      </c>
    </row>
    <row r="7" spans="1:4" x14ac:dyDescent="0.25">
      <c r="A7" s="7" t="str">
        <f>'Reference Matrix'!A2</f>
        <v>Dead (D)</v>
      </c>
      <c r="B7" s="7" t="str">
        <f>'Reference Matrix'!B2</f>
        <v>Gravity</v>
      </c>
      <c r="C7" s="8" t="str">
        <f t="shared" ref="C7:C24" si="0">IF(D7="-","No","Yes")</f>
        <v>Yes</v>
      </c>
      <c r="D7" s="3" t="str">
        <f>INDEX('Reference Matrix'!$C$2:$H$2,1,MATCH($B$4,'Reference Matrix'!$C$1:$H$1,0))</f>
        <v>Yes - self weight, auto by ETABS</v>
      </c>
    </row>
    <row r="8" spans="1:4" x14ac:dyDescent="0.25">
      <c r="A8" s="7" t="str">
        <f>'Reference Matrix'!A3</f>
        <v>Super Dead (SDL)</v>
      </c>
      <c r="B8" s="7" t="str">
        <f>'Reference Matrix'!B3</f>
        <v>Gravity</v>
      </c>
      <c r="C8" s="8" t="str">
        <f t="shared" si="0"/>
        <v>Yes</v>
      </c>
      <c r="D8" s="3" t="str">
        <f>INDEX('Reference Matrix'!$C$3:$H$3,1,MATCH($B$4,'Reference Matrix'!$C$1:$H$1,0))</f>
        <v>Yes - finishes, MEP ~1.0-1.5 kN/m2</v>
      </c>
    </row>
    <row r="9" spans="1:4" x14ac:dyDescent="0.25">
      <c r="A9" s="7" t="str">
        <f>'Reference Matrix'!A4</f>
        <v>Live (L)</v>
      </c>
      <c r="B9" s="7" t="str">
        <f>'Reference Matrix'!B4</f>
        <v>Gravity</v>
      </c>
      <c r="C9" s="8" t="str">
        <f t="shared" si="0"/>
        <v>Yes</v>
      </c>
      <c r="D9" s="3" t="str">
        <f>INDEX('Reference Matrix'!$C$4:$H$4,1,MATCH($B$4,'Reference Matrix'!$C$1:$H$1,0))</f>
        <v>Yes - ~1.9-2.0 kN/m2, balconies higher</v>
      </c>
    </row>
    <row r="10" spans="1:4" x14ac:dyDescent="0.25">
      <c r="A10" s="7" t="str">
        <f>'Reference Matrix'!A5</f>
        <v>Roof Live (LR)</v>
      </c>
      <c r="B10" s="7" t="str">
        <f>'Reference Matrix'!B5</f>
        <v>Gravity</v>
      </c>
      <c r="C10" s="8" t="str">
        <f t="shared" si="0"/>
        <v>Yes</v>
      </c>
      <c r="D10" s="3" t="str">
        <f>INDEX('Reference Matrix'!$C$5:$H$5,1,MATCH($B$4,'Reference Matrix'!$C$1:$H$1,0))</f>
        <v>Yes - ~1.0 kN/m2 or per code</v>
      </c>
    </row>
    <row r="11" spans="1:4" x14ac:dyDescent="0.25">
      <c r="A11" s="7" t="str">
        <f>'Reference Matrix'!A6</f>
        <v>Partition Load</v>
      </c>
      <c r="B11" s="7" t="str">
        <f>'Reference Matrix'!B6</f>
        <v>Gravity</v>
      </c>
      <c r="C11" s="8" t="str">
        <f t="shared" si="0"/>
        <v>No</v>
      </c>
      <c r="D11" s="3" t="str">
        <f>INDEX('Reference Matrix'!$C$6:$H$6,1,MATCH($B$4,'Reference Matrix'!$C$1:$H$1,0))</f>
        <v>-</v>
      </c>
    </row>
    <row r="12" spans="1:4" x14ac:dyDescent="0.25">
      <c r="A12" s="7" t="str">
        <f>'Reference Matrix'!A7</f>
        <v>Snow (S)</v>
      </c>
      <c r="B12" s="7" t="str">
        <f>'Reference Matrix'!B7</f>
        <v>Gravity</v>
      </c>
      <c r="C12" s="8" t="str">
        <f t="shared" si="0"/>
        <v>Yes</v>
      </c>
      <c r="D12" s="3" t="str">
        <f>INDEX('Reference Matrix'!$C$7:$H$7,1,MATCH($B$4,'Reference Matrix'!$C$1:$H$1,0))</f>
        <v>If snow region - per ground snow load</v>
      </c>
    </row>
    <row r="13" spans="1:4" x14ac:dyDescent="0.25">
      <c r="A13" s="7" t="str">
        <f>'Reference Matrix'!A8</f>
        <v>Crane Load</v>
      </c>
      <c r="B13" s="7" t="str">
        <f>'Reference Matrix'!B8</f>
        <v>Gravity</v>
      </c>
      <c r="C13" s="8" t="str">
        <f t="shared" si="0"/>
        <v>No</v>
      </c>
      <c r="D13" s="3" t="str">
        <f>INDEX('Reference Matrix'!$C$8:$H$8,1,MATCH($B$4,'Reference Matrix'!$C$1:$H$1,0))</f>
        <v>-</v>
      </c>
    </row>
    <row r="14" spans="1:4" x14ac:dyDescent="0.25">
      <c r="A14" s="7" t="str">
        <f>'Reference Matrix'!A9</f>
        <v>Ramp / Vehicle Load</v>
      </c>
      <c r="B14" s="7" t="str">
        <f>'Reference Matrix'!B9</f>
        <v>Gravity</v>
      </c>
      <c r="C14" s="8" t="str">
        <f t="shared" si="0"/>
        <v>No</v>
      </c>
      <c r="D14" s="3" t="str">
        <f>INDEX('Reference Matrix'!$C$9:$H$9,1,MATCH($B$4,'Reference Matrix'!$C$1:$H$1,0))</f>
        <v>-</v>
      </c>
    </row>
    <row r="15" spans="1:4" x14ac:dyDescent="0.25">
      <c r="A15" s="7" t="str">
        <f>'Reference Matrix'!A10</f>
        <v>Wind (WX)</v>
      </c>
      <c r="B15" s="7" t="str">
        <f>'Reference Matrix'!B10</f>
        <v>Lateral</v>
      </c>
      <c r="C15" s="8" t="str">
        <f t="shared" si="0"/>
        <v>Yes</v>
      </c>
      <c r="D15" s="3" t="str">
        <f>INDEX('Reference Matrix'!$C$10:$H$10,1,MATCH($B$4,'Reference Matrix'!$C$1:$H$1,0))</f>
        <v>Yes - per ASCE 7 / local code</v>
      </c>
    </row>
    <row r="16" spans="1:4" x14ac:dyDescent="0.25">
      <c r="A16" s="7" t="str">
        <f>'Reference Matrix'!A11</f>
        <v>Wind (WY)</v>
      </c>
      <c r="B16" s="7" t="str">
        <f>'Reference Matrix'!B11</f>
        <v>Lateral</v>
      </c>
      <c r="C16" s="8" t="str">
        <f t="shared" si="0"/>
        <v>Yes</v>
      </c>
      <c r="D16" s="3" t="str">
        <f>INDEX('Reference Matrix'!$C$11:$H$11,1,MATCH($B$4,'Reference Matrix'!$C$1:$H$1,0))</f>
        <v>Yes - per ASCE 7 / local code</v>
      </c>
    </row>
    <row r="17" spans="1:4" x14ac:dyDescent="0.25">
      <c r="A17" s="7" t="str">
        <f>'Reference Matrix'!A12</f>
        <v>Wind Torsion / Eccentric</v>
      </c>
      <c r="B17" s="7" t="str">
        <f>'Reference Matrix'!B12</f>
        <v>Lateral</v>
      </c>
      <c r="C17" s="8" t="str">
        <f t="shared" si="0"/>
        <v>No</v>
      </c>
      <c r="D17" s="3" t="str">
        <f>INDEX('Reference Matrix'!$C$12:$H$12,1,MATCH($B$4,'Reference Matrix'!$C$1:$H$1,0))</f>
        <v>-</v>
      </c>
    </row>
    <row r="18" spans="1:4" x14ac:dyDescent="0.25">
      <c r="A18" s="7" t="str">
        <f>'Reference Matrix'!A13</f>
        <v>Seismic (EX)</v>
      </c>
      <c r="B18" s="7" t="str">
        <f>'Reference Matrix'!B13</f>
        <v>Lateral</v>
      </c>
      <c r="C18" s="8" t="str">
        <f t="shared" si="0"/>
        <v>Yes</v>
      </c>
      <c r="D18" s="3" t="str">
        <f>INDEX('Reference Matrix'!$C$13:$H$13,1,MATCH($B$4,'Reference Matrix'!$C$1:$H$1,0))</f>
        <v>Yes - static or RSA per zone</v>
      </c>
    </row>
    <row r="19" spans="1:4" x14ac:dyDescent="0.25">
      <c r="A19" s="7" t="str">
        <f>'Reference Matrix'!A14</f>
        <v>Seismic (EY)</v>
      </c>
      <c r="B19" s="7" t="str">
        <f>'Reference Matrix'!B14</f>
        <v>Lateral</v>
      </c>
      <c r="C19" s="8" t="str">
        <f t="shared" si="0"/>
        <v>Yes</v>
      </c>
      <c r="D19" s="3" t="str">
        <f>INDEX('Reference Matrix'!$C$14:$H$14,1,MATCH($B$4,'Reference Matrix'!$C$1:$H$1,0))</f>
        <v>Yes - static or RSA per zone</v>
      </c>
    </row>
    <row r="20" spans="1:4" x14ac:dyDescent="0.25">
      <c r="A20" s="7" t="str">
        <f>'Reference Matrix'!A15</f>
        <v>Notional Load</v>
      </c>
      <c r="B20" s="7" t="str">
        <f>'Reference Matrix'!B15</f>
        <v>Lateral</v>
      </c>
      <c r="C20" s="8" t="str">
        <f t="shared" si="0"/>
        <v>Yes</v>
      </c>
      <c r="D20" s="3" t="str">
        <f>INDEX('Reference Matrix'!$C$15:$H$15,1,MATCH($B$4,'Reference Matrix'!$C$1:$H$1,0))</f>
        <v>Yes - 0.2-0.5% of gravity load</v>
      </c>
    </row>
    <row r="21" spans="1:4" x14ac:dyDescent="0.25">
      <c r="A21" s="7" t="str">
        <f>'Reference Matrix'!A16</f>
        <v>Temperature (T)</v>
      </c>
      <c r="B21" s="7" t="str">
        <f>'Reference Matrix'!B16</f>
        <v>Site-specific</v>
      </c>
      <c r="C21" s="8" t="str">
        <f t="shared" si="0"/>
        <v>No</v>
      </c>
      <c r="D21" s="3" t="str">
        <f>INDEX('Reference Matrix'!$C$16:$H$16,1,MATCH($B$4,'Reference Matrix'!$C$1:$H$1,0))</f>
        <v>-</v>
      </c>
    </row>
    <row r="22" spans="1:4" x14ac:dyDescent="0.25">
      <c r="A22" s="7" t="str">
        <f>'Reference Matrix'!A17</f>
        <v>Lateral Earth Pressure</v>
      </c>
      <c r="B22" s="7" t="str">
        <f>'Reference Matrix'!B17</f>
        <v>Site-specific</v>
      </c>
      <c r="C22" s="8" t="str">
        <f t="shared" si="0"/>
        <v>No</v>
      </c>
      <c r="D22" s="3" t="str">
        <f>INDEX('Reference Matrix'!$C$17:$H$17,1,MATCH($B$4,'Reference Matrix'!$C$1:$H$1,0))</f>
        <v>-</v>
      </c>
    </row>
    <row r="23" spans="1:4" x14ac:dyDescent="0.25">
      <c r="A23" s="7" t="str">
        <f>'Reference Matrix'!A18</f>
        <v>Hydrostatic Pressure</v>
      </c>
      <c r="B23" s="7" t="str">
        <f>'Reference Matrix'!B18</f>
        <v>Site-specific</v>
      </c>
      <c r="C23" s="8" t="str">
        <f t="shared" si="0"/>
        <v>No</v>
      </c>
      <c r="D23" s="3" t="str">
        <f>INDEX('Reference Matrix'!$C$18:$H$18,1,MATCH($B$4,'Reference Matrix'!$C$1:$H$1,0))</f>
        <v>-</v>
      </c>
    </row>
    <row r="24" spans="1:4" x14ac:dyDescent="0.25">
      <c r="A24" s="7" t="str">
        <f>'Reference Matrix'!A19</f>
        <v>Surcharge Load</v>
      </c>
      <c r="B24" s="7" t="str">
        <f>'Reference Matrix'!B19</f>
        <v>Site-specific</v>
      </c>
      <c r="C24" s="8" t="str">
        <f t="shared" si="0"/>
        <v>No</v>
      </c>
      <c r="D24" s="3" t="str">
        <f>INDEX('Reference Matrix'!$C$19:$H$19,1,MATCH($B$4,'Reference Matrix'!$C$1:$H$1,0))</f>
        <v>-</v>
      </c>
    </row>
    <row r="27" spans="1:4" x14ac:dyDescent="0.25">
      <c r="A27" s="9" t="s">
        <v>79</v>
      </c>
    </row>
    <row r="28" spans="1:4" x14ac:dyDescent="0.25">
      <c r="A28" s="9" t="s">
        <v>9</v>
      </c>
    </row>
    <row r="29" spans="1:4" x14ac:dyDescent="0.25">
      <c r="A29" s="9" t="s">
        <v>42</v>
      </c>
    </row>
    <row r="30" spans="1:4" x14ac:dyDescent="0.25">
      <c r="A30" s="9" t="s">
        <v>66</v>
      </c>
    </row>
    <row r="32" spans="1:4" ht="30.75" customHeight="1" x14ac:dyDescent="0.25">
      <c r="A32" s="11" t="s">
        <v>80</v>
      </c>
      <c r="B32" s="11"/>
      <c r="C32" s="11"/>
      <c r="D32" s="11"/>
    </row>
  </sheetData>
  <mergeCells count="1">
    <mergeCell ref="A32:D32"/>
  </mergeCells>
  <conditionalFormatting sqref="C7:C24"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sqref="B4" xr:uid="{00000000-0002-0000-0100-000000000000}">
      <formula1>"Residential,Commercial / Office,Industrial / Warehouse,High-rise Tower,Parking Structure,Basement / Podium"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Matrix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Tufail Mabood</cp:lastModifiedBy>
  <cp:revision>0</cp:revision>
  <dcterms:created xsi:type="dcterms:W3CDTF">2026-09-03T07:31:30Z</dcterms:created>
  <dcterms:modified xsi:type="dcterms:W3CDTF">2026-09-07T12:07:21Z</dcterms:modified>
  <dc:language>en-US</dc:language>
</cp:coreProperties>
</file>