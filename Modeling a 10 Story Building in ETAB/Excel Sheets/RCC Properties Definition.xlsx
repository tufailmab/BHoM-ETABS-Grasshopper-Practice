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"/>
    </mc:Choice>
  </mc:AlternateContent>
  <xr:revisionPtr revIDLastSave="0" documentId="13_ncr:1_{103FE17F-1332-49D5-A134-0730DBEA21D3}" xr6:coauthVersionLast="47" xr6:coauthVersionMax="47" xr10:uidLastSave="{00000000-0000-0000-0000-000000000000}"/>
  <bookViews>
    <workbookView xWindow="-120" yWindow="-120" windowWidth="20730" windowHeight="11310" tabRatio="500" firstSheet="2" activeTab="3" xr2:uid="{00000000-000D-0000-FFFF-FFFF00000000}"/>
  </bookViews>
  <sheets>
    <sheet name="Concrete" sheetId="2" r:id="rId1"/>
    <sheet name="Rebar" sheetId="3" r:id="rId2"/>
    <sheet name="Frame Sections - Beam" sheetId="4" r:id="rId3"/>
    <sheet name="Frame Sections - Column" sheetId="5" r:id="rId4"/>
    <sheet name="Slab Sections" sheetId="6" r:id="rId5"/>
    <sheet name="Wall Sections" sheetId="7" r:id="rId6"/>
    <sheet name="Live-Dead Loads" sheetId="8" r:id="rId7"/>
    <sheet name="Seismic Design Parameters" sheetId="9" r:id="rId8"/>
    <sheet name="Wind Design Parameters" sheetId="10" r:id="rId9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8" l="1"/>
  <c r="C51" i="8" s="1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7" i="8"/>
  <c r="G13" i="5"/>
  <c r="F13" i="5"/>
  <c r="E13" i="5"/>
  <c r="H13" i="5" s="1"/>
  <c r="C5" i="2"/>
  <c r="O13" i="2"/>
  <c r="N13" i="2"/>
  <c r="I13" i="2"/>
  <c r="M13" i="2" s="1"/>
  <c r="G13" i="2"/>
  <c r="C13" i="2"/>
  <c r="K13" i="2" s="1"/>
  <c r="L13" i="2" s="1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B35" i="10"/>
  <c r="B34" i="10"/>
  <c r="B33" i="10"/>
  <c r="B32" i="10"/>
  <c r="B31" i="10"/>
  <c r="B30" i="10"/>
  <c r="B29" i="10"/>
  <c r="B28" i="10"/>
  <c r="B27" i="10"/>
  <c r="B26" i="10"/>
  <c r="B25" i="10"/>
  <c r="E21" i="10"/>
  <c r="E20" i="10"/>
  <c r="C35" i="10" s="1"/>
  <c r="D35" i="10" s="1"/>
  <c r="E35" i="10" s="1"/>
  <c r="E19" i="10"/>
  <c r="E30" i="9"/>
  <c r="E32" i="9" s="1"/>
  <c r="E34" i="9" s="1"/>
  <c r="E29" i="9"/>
  <c r="E31" i="9" s="1"/>
  <c r="E33" i="9" s="1"/>
  <c r="C50" i="8"/>
  <c r="C49" i="8"/>
  <c r="C48" i="8"/>
  <c r="C47" i="8"/>
  <c r="C46" i="8"/>
  <c r="C45" i="8"/>
  <c r="C44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E11" i="7"/>
  <c r="D11" i="7"/>
  <c r="F11" i="7" s="1"/>
  <c r="E10" i="7"/>
  <c r="D10" i="7"/>
  <c r="F10" i="7" s="1"/>
  <c r="F9" i="7"/>
  <c r="E9" i="7"/>
  <c r="D9" i="7"/>
  <c r="E8" i="7"/>
  <c r="D8" i="7"/>
  <c r="F8" i="7" s="1"/>
  <c r="E7" i="7"/>
  <c r="D7" i="7"/>
  <c r="F7" i="7" s="1"/>
  <c r="E6" i="7"/>
  <c r="D6" i="7"/>
  <c r="F6" i="7" s="1"/>
  <c r="E12" i="6"/>
  <c r="D12" i="6"/>
  <c r="F12" i="6" s="1"/>
  <c r="E11" i="6"/>
  <c r="D11" i="6"/>
  <c r="F11" i="6" s="1"/>
  <c r="E10" i="6"/>
  <c r="D10" i="6"/>
  <c r="F10" i="6" s="1"/>
  <c r="E9" i="6"/>
  <c r="D9" i="6"/>
  <c r="F9" i="6" s="1"/>
  <c r="E8" i="6"/>
  <c r="D8" i="6"/>
  <c r="F8" i="6" s="1"/>
  <c r="E7" i="6"/>
  <c r="D7" i="6"/>
  <c r="F7" i="6" s="1"/>
  <c r="E6" i="6"/>
  <c r="D6" i="6"/>
  <c r="F6" i="6" s="1"/>
  <c r="G12" i="5"/>
  <c r="F12" i="5"/>
  <c r="E12" i="5"/>
  <c r="H12" i="5" s="1"/>
  <c r="H11" i="5"/>
  <c r="G11" i="5"/>
  <c r="I11" i="5" s="1"/>
  <c r="F11" i="5"/>
  <c r="E11" i="5"/>
  <c r="H10" i="5"/>
  <c r="G10" i="5"/>
  <c r="I10" i="5" s="1"/>
  <c r="F10" i="5"/>
  <c r="E10" i="5"/>
  <c r="G9" i="5"/>
  <c r="I9" i="5" s="1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H6" i="5" s="1"/>
  <c r="G12" i="4"/>
  <c r="I12" i="4" s="1"/>
  <c r="F12" i="4"/>
  <c r="E12" i="4"/>
  <c r="H12" i="4" s="1"/>
  <c r="G11" i="4"/>
  <c r="I11" i="4" s="1"/>
  <c r="F11" i="4"/>
  <c r="E11" i="4"/>
  <c r="H11" i="4" s="1"/>
  <c r="G10" i="4"/>
  <c r="I10" i="4" s="1"/>
  <c r="F10" i="4"/>
  <c r="E10" i="4"/>
  <c r="H10" i="4" s="1"/>
  <c r="G9" i="4"/>
  <c r="I9" i="4" s="1"/>
  <c r="F9" i="4"/>
  <c r="E9" i="4"/>
  <c r="H9" i="4" s="1"/>
  <c r="G8" i="4"/>
  <c r="I8" i="4" s="1"/>
  <c r="F8" i="4"/>
  <c r="E8" i="4"/>
  <c r="H8" i="4" s="1"/>
  <c r="G7" i="4"/>
  <c r="F7" i="4"/>
  <c r="E7" i="4"/>
  <c r="H7" i="4" s="1"/>
  <c r="H6" i="4"/>
  <c r="G6" i="4"/>
  <c r="F6" i="4"/>
  <c r="E6" i="4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O12" i="2"/>
  <c r="N12" i="2"/>
  <c r="I12" i="2"/>
  <c r="M12" i="2" s="1"/>
  <c r="G12" i="2"/>
  <c r="C12" i="2"/>
  <c r="K12" i="2" s="1"/>
  <c r="L12" i="2" s="1"/>
  <c r="O11" i="2"/>
  <c r="N11" i="2"/>
  <c r="I11" i="2"/>
  <c r="J11" i="2" s="1"/>
  <c r="G11" i="2"/>
  <c r="E11" i="2"/>
  <c r="C11" i="2"/>
  <c r="K11" i="2" s="1"/>
  <c r="L11" i="2" s="1"/>
  <c r="O10" i="2"/>
  <c r="N10" i="2"/>
  <c r="J10" i="2"/>
  <c r="I10" i="2"/>
  <c r="M10" i="2" s="1"/>
  <c r="G10" i="2"/>
  <c r="C10" i="2"/>
  <c r="K10" i="2" s="1"/>
  <c r="L10" i="2" s="1"/>
  <c r="O9" i="2"/>
  <c r="N9" i="2"/>
  <c r="I9" i="2"/>
  <c r="J9" i="2" s="1"/>
  <c r="G9" i="2"/>
  <c r="C9" i="2"/>
  <c r="K9" i="2" s="1"/>
  <c r="L9" i="2" s="1"/>
  <c r="O8" i="2"/>
  <c r="N8" i="2"/>
  <c r="I8" i="2"/>
  <c r="M8" i="2" s="1"/>
  <c r="G8" i="2"/>
  <c r="C8" i="2"/>
  <c r="K8" i="2" s="1"/>
  <c r="L8" i="2" s="1"/>
  <c r="O7" i="2"/>
  <c r="N7" i="2"/>
  <c r="I7" i="2"/>
  <c r="J7" i="2" s="1"/>
  <c r="G7" i="2"/>
  <c r="C7" i="2"/>
  <c r="K7" i="2" s="1"/>
  <c r="L7" i="2" s="1"/>
  <c r="O6" i="2"/>
  <c r="N6" i="2"/>
  <c r="I6" i="2"/>
  <c r="M6" i="2" s="1"/>
  <c r="G6" i="2"/>
  <c r="C6" i="2"/>
  <c r="K6" i="2" s="1"/>
  <c r="L6" i="2" s="1"/>
  <c r="O5" i="2"/>
  <c r="N5" i="2"/>
  <c r="I5" i="2"/>
  <c r="J5" i="2" s="1"/>
  <c r="G5" i="2"/>
  <c r="K5" i="2"/>
  <c r="L5" i="2" s="1"/>
  <c r="I13" i="5" l="1"/>
  <c r="E35" i="9"/>
  <c r="I6" i="5"/>
  <c r="I8" i="5"/>
  <c r="I7" i="5"/>
  <c r="I12" i="5"/>
  <c r="J13" i="2"/>
  <c r="E13" i="2"/>
  <c r="J6" i="2"/>
  <c r="E7" i="2"/>
  <c r="E5" i="2"/>
  <c r="J8" i="2"/>
  <c r="E9" i="2"/>
  <c r="J12" i="2"/>
  <c r="I6" i="4"/>
  <c r="I7" i="4"/>
  <c r="M5" i="2"/>
  <c r="E6" i="2"/>
  <c r="M7" i="2"/>
  <c r="E8" i="2"/>
  <c r="M9" i="2"/>
  <c r="E10" i="2"/>
  <c r="M11" i="2"/>
  <c r="E12" i="2"/>
  <c r="C25" i="10"/>
  <c r="D25" i="10" s="1"/>
  <c r="E25" i="10" s="1"/>
  <c r="C26" i="10"/>
  <c r="D26" i="10" s="1"/>
  <c r="E26" i="10" s="1"/>
  <c r="C27" i="10"/>
  <c r="D27" i="10" s="1"/>
  <c r="E27" i="10" s="1"/>
  <c r="C28" i="10"/>
  <c r="D28" i="10" s="1"/>
  <c r="E28" i="10" s="1"/>
  <c r="C29" i="10"/>
  <c r="D29" i="10" s="1"/>
  <c r="E29" i="10" s="1"/>
  <c r="C30" i="10"/>
  <c r="D30" i="10" s="1"/>
  <c r="E30" i="10" s="1"/>
  <c r="C31" i="10"/>
  <c r="D31" i="10" s="1"/>
  <c r="E31" i="10" s="1"/>
  <c r="C32" i="10"/>
  <c r="D32" i="10" s="1"/>
  <c r="E32" i="10" s="1"/>
  <c r="C33" i="10"/>
  <c r="D33" i="10" s="1"/>
  <c r="E33" i="10" s="1"/>
  <c r="C34" i="10"/>
  <c r="D34" i="10" s="1"/>
  <c r="E34" i="10" s="1"/>
</calcChain>
</file>

<file path=xl/sharedStrings.xml><?xml version="1.0" encoding="utf-8"?>
<sst xmlns="http://schemas.openxmlformats.org/spreadsheetml/2006/main" count="520" uniqueCount="354">
  <si>
    <t>Material Properties — Concrete</t>
  </si>
  <si>
    <t>Material
Name</t>
  </si>
  <si>
    <t>SI Units (IS 456)</t>
  </si>
  <si>
    <t>US Customary Units (converted / ACI 318 reference)</t>
  </si>
  <si>
    <t>Grade fck
(MPa)</t>
  </si>
  <si>
    <t>Modulus of Elasticity
Ec (MPa)</t>
  </si>
  <si>
    <t>Poisson's
Ratio</t>
  </si>
  <si>
    <t>Shear Modulus
G (MPa)</t>
  </si>
  <si>
    <t>Unit Weight
(kN/m3)</t>
  </si>
  <si>
    <t>Mass Density
(kg/m3)</t>
  </si>
  <si>
    <t>Thermal Coeff.
(1/C)</t>
  </si>
  <si>
    <t>f'c
(psi)</t>
  </si>
  <si>
    <t>f'c
(ksi)</t>
  </si>
  <si>
    <t>Ec (converted)
(psi)</t>
  </si>
  <si>
    <t>Ec (converted)
(ksi)</t>
  </si>
  <si>
    <t>ACI 318 Ec = 57000√f'c
(psi)</t>
  </si>
  <si>
    <t>Unit Weight
(pcf)</t>
  </si>
  <si>
    <t>Thermal Coeff.
(1/F)</t>
  </si>
  <si>
    <t>M20</t>
  </si>
  <si>
    <t>M25</t>
  </si>
  <si>
    <t>M30</t>
  </si>
  <si>
    <t>M35</t>
  </si>
  <si>
    <t>M40</t>
  </si>
  <si>
    <t>M45</t>
  </si>
  <si>
    <t>M50</t>
  </si>
  <si>
    <t>M60</t>
  </si>
  <si>
    <t>Material Properties — Reinforcing Steel (Rebar)</t>
  </si>
  <si>
    <t>IS 1786 grades and ASTM A615/A706 grades | SI (MPa) and US Customary (ksi)</t>
  </si>
  <si>
    <t>SI Units (MPa)</t>
  </si>
  <si>
    <t>US Customary Units (ksi)</t>
  </si>
  <si>
    <t>Yield Fy
(MPa)</t>
  </si>
  <si>
    <t>Ultimate Fu
(MPa)</t>
  </si>
  <si>
    <t>Modulus Es
(MPa)</t>
  </si>
  <si>
    <t>Yield Fy
(ksi)</t>
  </si>
  <si>
    <t>Ultimate Fu
(ksi)</t>
  </si>
  <si>
    <t>Modulus Es
(ksi)</t>
  </si>
  <si>
    <t>Standard /
Code Basis</t>
  </si>
  <si>
    <t>Fe415</t>
  </si>
  <si>
    <t>IS 1786</t>
  </si>
  <si>
    <t>Fe500</t>
  </si>
  <si>
    <t>Fe500D</t>
  </si>
  <si>
    <t>Fe550</t>
  </si>
  <si>
    <t>Grade 40</t>
  </si>
  <si>
    <t>ASTM A615</t>
  </si>
  <si>
    <t>Grade 60</t>
  </si>
  <si>
    <t>Grade 75</t>
  </si>
  <si>
    <t>Grade 80</t>
  </si>
  <si>
    <t>ASTM A615/A706</t>
  </si>
  <si>
    <t>Frame Section Properties — RCC Beams (Rectangular)</t>
  </si>
  <si>
    <t>Rectangular RCC sections — sizes span low-rise to high-rise buildings | mm &amp; inch</t>
  </si>
  <si>
    <t>Section
Name</t>
  </si>
  <si>
    <t>Concrete
Material</t>
  </si>
  <si>
    <t>SI Units (mm)</t>
  </si>
  <si>
    <t>US Customary Units (in)</t>
  </si>
  <si>
    <t>Building
Category</t>
  </si>
  <si>
    <t>Notes</t>
  </si>
  <si>
    <t>Depth D
(mm)</t>
  </si>
  <si>
    <t>Width B
(mm)</t>
  </si>
  <si>
    <t>Gross Area
(mm2)</t>
  </si>
  <si>
    <t>Depth D
(in)</t>
  </si>
  <si>
    <t>Width B
(in)</t>
  </si>
  <si>
    <t>Gross Area
(in2)</t>
  </si>
  <si>
    <t>Section
Modulus (in3)</t>
  </si>
  <si>
    <t>B230X380</t>
  </si>
  <si>
    <t>Low-rise residential</t>
  </si>
  <si>
    <t>Typical light residential floor beam</t>
  </si>
  <si>
    <t>B230X450</t>
  </si>
  <si>
    <t>Low/mid-rise residential</t>
  </si>
  <si>
    <t>Typical floor beam</t>
  </si>
  <si>
    <t>B230X600</t>
  </si>
  <si>
    <t>Mid-rise commercial</t>
  </si>
  <si>
    <t>Main / transfer-capable beam</t>
  </si>
  <si>
    <t>B300X600</t>
  </si>
  <si>
    <t>Mid/high-rise commercial</t>
  </si>
  <si>
    <t>Long span / heavier load beam</t>
  </si>
  <si>
    <t>B300X750</t>
  </si>
  <si>
    <t>High-rise</t>
  </si>
  <si>
    <t>Transfer beam</t>
  </si>
  <si>
    <t>B400X900</t>
  </si>
  <si>
    <t>High-rise / industrial</t>
  </si>
  <si>
    <t>Heavy transfer / podium beam</t>
  </si>
  <si>
    <t>B300X450-IND</t>
  </si>
  <si>
    <t>Industrial</t>
  </si>
  <si>
    <t>Gantry-supporting or heavy-duty floor beam</t>
  </si>
  <si>
    <t>Frame Section Properties — RCC Columns (Rectangular / Square)</t>
  </si>
  <si>
    <t>C230X230</t>
  </si>
  <si>
    <t>Minimum practical column, up to G+2</t>
  </si>
  <si>
    <t>C300X300</t>
  </si>
  <si>
    <t>Low/mid-rise</t>
  </si>
  <si>
    <t>Typical residential/commercial column</t>
  </si>
  <si>
    <t>C450X450</t>
  </si>
  <si>
    <t>Mid-rise</t>
  </si>
  <si>
    <t>Mid-rise column, G+8 to G+15 range</t>
  </si>
  <si>
    <t>C600X600</t>
  </si>
  <si>
    <t>Lower-storey column, tall building</t>
  </si>
  <si>
    <t>C750X750</t>
  </si>
  <si>
    <t>Podium / transfer-level column</t>
  </si>
  <si>
    <t>C230X600</t>
  </si>
  <si>
    <t>Any (wall-hidden)</t>
  </si>
  <si>
    <t>Wall-hidden / lift-core column</t>
  </si>
  <si>
    <t>C500X500-IND</t>
  </si>
  <si>
    <t>Heavy-duty industrial / crane-column</t>
  </si>
  <si>
    <t>Shell Section Properties — RCC Slabs</t>
  </si>
  <si>
    <t>mm/in thickness, self-weight in kN/m2 &amp; psf</t>
  </si>
  <si>
    <t>SI Units</t>
  </si>
  <si>
    <t>US Customary Units</t>
  </si>
  <si>
    <t>Shell
Type</t>
  </si>
  <si>
    <t>Thickness
(mm)</t>
  </si>
  <si>
    <t>Self Weight
(kN/m2)</t>
  </si>
  <si>
    <t>Thickness
(in)</t>
  </si>
  <si>
    <t>Self Weight
(psf)</t>
  </si>
  <si>
    <t>S100</t>
  </si>
  <si>
    <t>Shell-Thin</t>
  </si>
  <si>
    <t>Light residential floor/roof slab</t>
  </si>
  <si>
    <t>S125</t>
  </si>
  <si>
    <t>Residential</t>
  </si>
  <si>
    <t>Typical residential floor slab</t>
  </si>
  <si>
    <t>Commercial</t>
  </si>
  <si>
    <t>Typical commercial floor slab</t>
  </si>
  <si>
    <t>S175</t>
  </si>
  <si>
    <t>Longer-span office floor slab</t>
  </si>
  <si>
    <t>S200</t>
  </si>
  <si>
    <t>High-rise / Podium</t>
  </si>
  <si>
    <t>Podium / transfer slab</t>
  </si>
  <si>
    <t>S250</t>
  </si>
  <si>
    <t>Industrial / Raft</t>
  </si>
  <si>
    <t>Shell-Thick</t>
  </si>
  <si>
    <t>Raft / mat foundation slab</t>
  </si>
  <si>
    <t>S300</t>
  </si>
  <si>
    <t>Industrial / Heavy</t>
  </si>
  <si>
    <t>Heavy-duty industrial floor slab</t>
  </si>
  <si>
    <t>Shell Section Properties — RCC Shear Walls</t>
  </si>
  <si>
    <t>W150</t>
  </si>
  <si>
    <t>Low-rise</t>
  </si>
  <si>
    <t>Partition / lightly loaded wall</t>
  </si>
  <si>
    <t>W200</t>
  </si>
  <si>
    <t>Typical shear wall</t>
  </si>
  <si>
    <t>W230</t>
  </si>
  <si>
    <t>Core wall, mid-rise</t>
  </si>
  <si>
    <t>W300</t>
  </si>
  <si>
    <t>Core wall, high-rise, mid storeys</t>
  </si>
  <si>
    <t>W400</t>
  </si>
  <si>
    <t>Core wall, high-rise, lower storeys</t>
  </si>
  <si>
    <t>W500</t>
  </si>
  <si>
    <t>Super-tall / Industrial</t>
  </si>
  <si>
    <t>Heavy core wall, tallest towers / silos</t>
  </si>
  <si>
    <t>Design Loads by Building Occupancy / Nature</t>
  </si>
  <si>
    <t>Basis: ASCE 7-22 Table 4.3-1 (US) ≈ UBC 1997 Table 16-A | psf primary, kPa converted</t>
  </si>
  <si>
    <t>Table A — Minimum Uniformly Distributed Live Loads by Occupancy</t>
  </si>
  <si>
    <t>Occupancy / Building Nature</t>
  </si>
  <si>
    <t>US Customary (ASCE 7-22 / UBC 16-A)</t>
  </si>
  <si>
    <t>SI (converted)</t>
  </si>
  <si>
    <t>Live Load
Reduction?</t>
  </si>
  <si>
    <t>Category</t>
  </si>
  <si>
    <t>Building Type</t>
  </si>
  <si>
    <t>Live Load
(psf)</t>
  </si>
  <si>
    <t>Conc. Load
(lb)</t>
  </si>
  <si>
    <t>Conc. Load
(kN)</t>
  </si>
  <si>
    <t>One/two-family dwellings — habitable rooms</t>
  </si>
  <si>
    <t>Yes</t>
  </si>
  <si>
    <t>Sleeping rooms same 40 psf (30 psf in some editions)</t>
  </si>
  <si>
    <t>Apartments / hotels — private rooms &amp; corridors</t>
  </si>
  <si>
    <t>Apartments / hotels — public rooms &amp; corridors</t>
  </si>
  <si>
    <t>Office</t>
  </si>
  <si>
    <t>Offices</t>
  </si>
  <si>
    <t>Partition allowance min 15 psf added as dead/live per code</t>
  </si>
  <si>
    <t>Lobbies &amp; first-floor corridors</t>
  </si>
  <si>
    <t>Corridors above first floor</t>
  </si>
  <si>
    <t>Assembly</t>
  </si>
  <si>
    <t>Fixed seats (theatres, churches, stadiums)</t>
  </si>
  <si>
    <t>No</t>
  </si>
  <si>
    <t>Movable seats / lobbies</t>
  </si>
  <si>
    <t>Dance halls, gymnasiums, dining, restaurants</t>
  </si>
  <si>
    <t>Institutional</t>
  </si>
  <si>
    <t>Classrooms (schools)</t>
  </si>
  <si>
    <t>School corridors above first floor</t>
  </si>
  <si>
    <t>Hospital patient rooms</t>
  </si>
  <si>
    <t>Hospital operating rooms / laboratories</t>
  </si>
  <si>
    <t>Hospital corridors above first floor</t>
  </si>
  <si>
    <t>Library</t>
  </si>
  <si>
    <t>Reading rooms</t>
  </si>
  <si>
    <t>Stack rooms</t>
  </si>
  <si>
    <t>Sec 4.7.3 — reduction not permitted</t>
  </si>
  <si>
    <t>Retail / Stores</t>
  </si>
  <si>
    <t>Retail — first floor</t>
  </si>
  <si>
    <t>Retail — upper floors</t>
  </si>
  <si>
    <t>Light manufacturing</t>
  </si>
  <si>
    <t>Heavy manufacturing</t>
  </si>
  <si>
    <t>Storage</t>
  </si>
  <si>
    <t>Light storage / warehouse</t>
  </si>
  <si>
    <t>Heavy storage / warehouse</t>
  </si>
  <si>
    <t>Parking</t>
  </si>
  <si>
    <t>Passenger vehicle garages</t>
  </si>
  <si>
    <t>Yes*</t>
  </si>
  <si>
    <t>*Special provisions apply — ASCE 7 Sec 4.3 / 4.7</t>
  </si>
  <si>
    <t>Trucks &amp; buses</t>
  </si>
  <si>
    <t>n/a</t>
  </si>
  <si>
    <t>Use AASHTO / site-specific vehicle loading</t>
  </si>
  <si>
    <t>Circulation</t>
  </si>
  <si>
    <t>Stairs &amp; exit ways</t>
  </si>
  <si>
    <t>40 psf permitted for one/two-family dwellings</t>
  </si>
  <si>
    <t>Roof</t>
  </si>
  <si>
    <t>Ordinary flat / pitched / curved roofs</t>
  </si>
  <si>
    <t>Yes (4.8)</t>
  </si>
  <si>
    <t>Roof gardens / occupied roofs / assembly</t>
  </si>
  <si>
    <t>Awnings &amp; canopies (non-fabric)</t>
  </si>
  <si>
    <t>Non-reducible</t>
  </si>
  <si>
    <t>Balcony</t>
  </si>
  <si>
    <t>Exterior balconies</t>
  </si>
  <si>
    <t>1.5x occupancy served, need not exceed 100 psf</t>
  </si>
  <si>
    <t>Exterior</t>
  </si>
  <si>
    <t>Sidewalks / driveways / yards subject to trucking</t>
  </si>
  <si>
    <t>Values summarize ASCE 7-22 Table 4.3-1 (and its long-standing UBC Table 16-A equivalent) for the most common occupancies. The Engineer of Record must verify the exact occupancy classification, confirm current-edition values, and apply live load reduction (ASCE 7 Sec. 4.7) or roof reduction (Sec. 4.8) only where explicitly permitted.</t>
  </si>
  <si>
    <t>Table B — Typical Superimposed Dead Load Allowances (engineering practice, not code-mandated)</t>
  </si>
  <si>
    <t>Component</t>
  </si>
  <si>
    <t>SI</t>
  </si>
  <si>
    <t>US Customary</t>
  </si>
  <si>
    <t>kN/m2</t>
  </si>
  <si>
    <t>psf</t>
  </si>
  <si>
    <t>Floor finish (tile/screed)</t>
  </si>
  <si>
    <t>False ceiling + services</t>
  </si>
  <si>
    <t>Partition allowance (light)</t>
  </si>
  <si>
    <t>Partition allowance (masonry)</t>
  </si>
  <si>
    <t>Waterproofing (roof)</t>
  </si>
  <si>
    <t>MEP / ductwork allowance</t>
  </si>
  <si>
    <t>Raised access floor</t>
  </si>
  <si>
    <t>Table B values are typical planning allowances used in practice — confirm against actual finishes/MEP design for the project.</t>
  </si>
  <si>
    <t>Seismic Design Parameters — ASCE 7-22 &amp; UBC 1997</t>
  </si>
  <si>
    <t>Site hazard (Ss, S1, Z) is location-specific — obtain from https://asce7hazardtool.online or local AHJ</t>
  </si>
  <si>
    <t>PART 1 — ASCE 7-22 (current US practice)</t>
  </si>
  <si>
    <t>1A. Site &amp; Design Spectral Parameters</t>
  </si>
  <si>
    <t>Ss — Mapped MCER short-period spectral accel. (g)</t>
  </si>
  <si>
    <t>S1 — Mapped MCER 1-second spectral accel. (g)</t>
  </si>
  <si>
    <t>Site Class (A-F)</t>
  </si>
  <si>
    <t>D</t>
  </si>
  <si>
    <t>Risk Category (I-IV)</t>
  </si>
  <si>
    <t>II</t>
  </si>
  <si>
    <t>Reference Table — Site Coefficient Fa (Table 11.4-1)</t>
  </si>
  <si>
    <t>Site Class</t>
  </si>
  <si>
    <t>Ss≤0.25</t>
  </si>
  <si>
    <t>Ss=0.5</t>
  </si>
  <si>
    <t>Ss=0.75</t>
  </si>
  <si>
    <t>Ss=1.0</t>
  </si>
  <si>
    <t>Ss≥1.25</t>
  </si>
  <si>
    <t>A</t>
  </si>
  <si>
    <t>B</t>
  </si>
  <si>
    <t>C</t>
  </si>
  <si>
    <t>E</t>
  </si>
  <si>
    <t>F</t>
  </si>
  <si>
    <t>Site-specific ground motion analysis required (ASCE 7 Sec. 11.4.8)</t>
  </si>
  <si>
    <t>Reference Table — Site Coefficient Fv (Table 11.4-2)</t>
  </si>
  <si>
    <t>S1≤0.1</t>
  </si>
  <si>
    <t>S1=0.2</t>
  </si>
  <si>
    <t>S1=0.3</t>
  </si>
  <si>
    <t>S1=0.4</t>
  </si>
  <si>
    <t>S1≥0.5</t>
  </si>
  <si>
    <t>1B. Computed Design Values</t>
  </si>
  <si>
    <t>Fa (from table above, nearest Ss column)</t>
  </si>
  <si>
    <t>Fv (from table above, nearest S1 column)</t>
  </si>
  <si>
    <t>SMS = Fa x Ss</t>
  </si>
  <si>
    <t>SM1 = Fv x S1</t>
  </si>
  <si>
    <t>SDS = 2/3 x SMS  (design short-period accel.)</t>
  </si>
  <si>
    <t>SD1 = 2/3 x SM1  (design 1-sec accel.)</t>
  </si>
  <si>
    <t>Seismic Design Category (governs = more severe of SDS/SD1 checks; Tables 11.6-1/11.6-2)</t>
  </si>
  <si>
    <t>1C. Design Coefficients — Common RC Seismic Force-Resisting Systems (ASCE 7-22 Table 12.2-1)</t>
  </si>
  <si>
    <t>Seismic Force-Resisting System</t>
  </si>
  <si>
    <t>R</t>
  </si>
  <si>
    <t>Ω0 (Omega)</t>
  </si>
  <si>
    <t>Cd</t>
  </si>
  <si>
    <t>Bearing Wall — Special RC shear walls</t>
  </si>
  <si>
    <t>Bearing Wall — Ordinary RC shear walls</t>
  </si>
  <si>
    <t>Building Frame — Special RC shear walls</t>
  </si>
  <si>
    <t>Building Frame — Ordinary RC shear walls</t>
  </si>
  <si>
    <t>Moment Frame — Special RC moment frame (SMRF)</t>
  </si>
  <si>
    <t>Moment Frame — Intermediate RC moment frame (IMRF)</t>
  </si>
  <si>
    <t>Moment Frame — Ordinary RC moment frame (OMRF)</t>
  </si>
  <si>
    <t>Dual System — Special MF + Special RC shear walls</t>
  </si>
  <si>
    <t>Dual System — Special MF + Ordinary RC shear walls</t>
  </si>
  <si>
    <t>Dual System — Intermediate MF + Special RC shear walls</t>
  </si>
  <si>
    <t>Fa/Fv above use a stepped (non-interpolated) lookup on Ss/S1 for simplicity — the code requires straight-line interpolation between table values, so for a more precise Fa/Fv, interpolate manually from the reference tables. Per ASCE 7-16/22 Sec. 11.4.8, Site Class D with S1≥0.2, or Site Class E with Ss≥1.0 or S1≥0.2, may require a site-specific ground motion hazard analysis instead of the Fa/Fv table values shown — check applicability for your site. SDC formula above is a simplified Table 11.6-1/11.6-2 check for Risk Category I-III (S1≥0.75 always assigns SDC E, or F for Risk Category IV) — always verify against the full ASCE 7-22 tables and any local amendments. Importance factor Ie = 1.0 (Risk Cat. I/II), 1.25 (III), 1.5 (IV). R/Cd/Omega table lists common cast-in-place RC systems only — see full Table 12.2-1 for steel, wood, masonry, and other RC system variants (cantilever columns, ductile coupled walls, etc.).</t>
  </si>
  <si>
    <t>PART 2 — UBC 1997 (legacy code, still referenced in some jurisdictions)</t>
  </si>
  <si>
    <t>2A. Zone Factor (Table 16-I)</t>
  </si>
  <si>
    <t>Zone</t>
  </si>
  <si>
    <t>2A</t>
  </si>
  <si>
    <t>2B</t>
  </si>
  <si>
    <t>Z factor</t>
  </si>
  <si>
    <t>2B. Seismic Coefficients Ca / Cv by Soil Profile Type (Tables 16-Q / 16-R, Na=Nv=1.0)</t>
  </si>
  <si>
    <t>Soil Profile</t>
  </si>
  <si>
    <t>Zone 1</t>
  </si>
  <si>
    <t>Zone 2A</t>
  </si>
  <si>
    <t>Zone 2B</t>
  </si>
  <si>
    <t>Zone 3</t>
  </si>
  <si>
    <t>Zone 4</t>
  </si>
  <si>
    <t>SA (hard rock)</t>
  </si>
  <si>
    <t>SB (rock)</t>
  </si>
  <si>
    <t>SC (dense soil/soft rock)</t>
  </si>
  <si>
    <t>SD (stiff soil)</t>
  </si>
  <si>
    <t>SE (soft soil)</t>
  </si>
  <si>
    <t>Ca table above</t>
  </si>
  <si>
    <t>2C. Response Modification Factor R (Table 16-N) — Common RC Systems</t>
  </si>
  <si>
    <t>Bearing Wall System — Concrete shear walls</t>
  </si>
  <si>
    <t>Building Frame System — Concrete shear walls</t>
  </si>
  <si>
    <t>Dual System — Shear wall + SMRF</t>
  </si>
  <si>
    <t>Dual System — Shear wall + IMRF</t>
  </si>
  <si>
    <t>UBC 1997 values reproduce Tables 16-I, 16-N, 16-Q, and 16-R for the most common RC systems and Na=Nv=1.0 (i.e., excluding near-source amplification in Zone 4, which requires Tables 16-S/16-T based on distance to a known seismic source). UBC 1997 has been superseded by the IBC/ASCE 7 in the US but remains referenced in some international jurisdictions — confirm which code edition is mandated for your project before use.</t>
  </si>
  <si>
    <t>Wind Design Parameters — ASCE 7-22 &amp; UBC 1997</t>
  </si>
  <si>
    <t>Basic wind speed V is location-specific — obtain from ASCE 7-22 Fig. 26.5-1 / local wind map</t>
  </si>
  <si>
    <t>1A. Inputs</t>
  </si>
  <si>
    <t>Basic Wind Speed, V (mph) — Risk Category II</t>
  </si>
  <si>
    <t>Exposure Category (B, C, or D)</t>
  </si>
  <si>
    <t>Topographic Factor, Kzt (1.0 = flat terrain)</t>
  </si>
  <si>
    <t>Wind Directionality Factor, Kd (0.85 typ. buildings)</t>
  </si>
  <si>
    <t>Ground Elevation Factor, Ke (1.0 at sea level)</t>
  </si>
  <si>
    <t>Gust-Effect Factor, G (0.85 rigid structures)</t>
  </si>
  <si>
    <t>Internal Pressure Coeff., GCpi (enclosed = ±0.18)</t>
  </si>
  <si>
    <t>1B. Exposure Category Terrain Constants (Table 26.11-1)</t>
  </si>
  <si>
    <t>Exposure</t>
  </si>
  <si>
    <t>α (alpha)</t>
  </si>
  <si>
    <t>zg (ft)</t>
  </si>
  <si>
    <t>zmin (ft)</t>
  </si>
  <si>
    <t>Description</t>
  </si>
  <si>
    <t>Urban/suburban, closely-spaced obstructions</t>
  </si>
  <si>
    <t>Open terrain, scattered obstructions &lt;30 ft</t>
  </si>
  <si>
    <t>Flat, unobstructed coastal / water surfaces</t>
  </si>
  <si>
    <t>Selected α</t>
  </si>
  <si>
    <t>Selected zg (ft)</t>
  </si>
  <si>
    <t>Selected zmin (ft)</t>
  </si>
  <si>
    <t>1C. Velocity Pressure qz by Height  (Kz = 2.01(z/zg)^(2/α); qz = 0.00256 Kz Kzt Kd Ke V², psf)</t>
  </si>
  <si>
    <t>Height z
(ft)</t>
  </si>
  <si>
    <t>Height z
(m)</t>
  </si>
  <si>
    <t>Kz
(-)</t>
  </si>
  <si>
    <t>qz
(psf)</t>
  </si>
  <si>
    <t>qz
(kPa)</t>
  </si>
  <si>
    <t>qz is velocity pressure (not final design pressure). Final MWFRS/C&amp;C design pressure p = q·G·Cp − qi·(GCpi), per ASCE 7-22 Ch. 27/28/30 external pressure coefficients (Cp), which depend on building geometry and are not tabulated here. Wind speeds in ASCE 7-22 are ULTIMATE (strength-level, LRFD) — multiply by 0.6 to get ASD-level pressures.</t>
  </si>
  <si>
    <t>PART 2 — UBC 1997 Wind (legacy code)</t>
  </si>
  <si>
    <t>2A. Basic Wind Stagnation Pressure qs (Table 16-F)</t>
  </si>
  <si>
    <t>Basic Wind Speed
(mph)</t>
  </si>
  <si>
    <t>qs
(psf)</t>
  </si>
  <si>
    <t>Basic Wind Speed
(km/h)</t>
  </si>
  <si>
    <t>qs
(kPa)</t>
  </si>
  <si>
    <t>2B. Design Wind Pressure Framework:  P = Ce × Cq × qs × Iw</t>
  </si>
  <si>
    <t>Ce</t>
  </si>
  <si>
    <t>Combined height, exposure &amp; gust factor coefficient (Table 16-G) — increases with height &amp; exposure D&gt;C&gt;B</t>
  </si>
  <si>
    <t>Cq</t>
  </si>
  <si>
    <t>Pressure coefficient (Table 16-H) — typ. 0.8 windward wall, 0.5 leeward wall, up to 1.3-2.0 on parapets/eaves</t>
  </si>
  <si>
    <t>Iw</t>
  </si>
  <si>
    <t>Importance factor — 1.0 standard occupancy, 1.15 essential/hazardous facilities (Table 16-K)</t>
  </si>
  <si>
    <t>UBC 1997 wind provisions have been superseded by ASCE 7 in the US but remain referenced in some jurisdictions. Ce varies continuously with height and exposure (Table 16-G) — look up the exact value for the project's height/exposure combination rather than interpolating loosely; this sheet gives the qs and framework only. Confirm which code edition is mandated for your project before use.</t>
  </si>
  <si>
    <t>User Defined</t>
  </si>
  <si>
    <t>S152.46</t>
  </si>
  <si>
    <t>Density of Wall</t>
  </si>
  <si>
    <t>kg/m3</t>
  </si>
  <si>
    <t>Live Load
(Pa)</t>
  </si>
  <si>
    <t>Total 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</si>
</sst>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wrapText="1" indent="1"/>
    </xf>
    <xf numFmtId="0" fontId="7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1" fillId="4" borderId="0" xfId="0" applyFont="1" applyFill="1"/>
    <xf numFmtId="0" fontId="5" fillId="4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center"/>
    </xf>
    <xf numFmtId="0" fontId="11" fillId="4" borderId="0" xfId="0" applyFont="1" applyFill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wrapText="1" indent="1"/>
    </xf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indent="1"/>
    </xf>
    <xf numFmtId="0" fontId="1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0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indent="1"/>
    </xf>
    <xf numFmtId="0" fontId="5" fillId="4" borderId="0" xfId="0" applyFont="1" applyFill="1"/>
    <xf numFmtId="0" fontId="6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I13" sqref="I13"/>
    </sheetView>
  </sheetViews>
  <sheetFormatPr defaultColWidth="8.7109375" defaultRowHeight="15" x14ac:dyDescent="0.25"/>
  <cols>
    <col min="1" max="1" width="10" style="1" customWidth="1"/>
    <col min="2" max="2" width="11" style="1" customWidth="1"/>
    <col min="3" max="3" width="14" style="1" customWidth="1"/>
    <col min="4" max="4" width="10" style="1" customWidth="1"/>
    <col min="5" max="8" width="12" style="1" customWidth="1"/>
    <col min="9" max="9" width="10" style="1" customWidth="1"/>
    <col min="10" max="10" width="9" style="1" customWidth="1"/>
    <col min="11" max="11" width="13" style="1" customWidth="1"/>
    <col min="12" max="12" width="12" style="1" customWidth="1"/>
    <col min="13" max="13" width="15" style="1" customWidth="1"/>
    <col min="14" max="15" width="11" style="1" customWidth="1"/>
    <col min="16" max="16384" width="8.7109375" style="1"/>
  </cols>
  <sheetData>
    <row r="1" spans="1:15" ht="25.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15.75" customHeight="1" x14ac:dyDescent="0.25">
      <c r="A3" s="37" t="s">
        <v>1</v>
      </c>
      <c r="B3" s="36" t="s">
        <v>2</v>
      </c>
      <c r="C3" s="36"/>
      <c r="D3" s="36"/>
      <c r="E3" s="36"/>
      <c r="F3" s="36"/>
      <c r="G3" s="36"/>
      <c r="H3" s="36"/>
      <c r="I3" s="36" t="s">
        <v>3</v>
      </c>
      <c r="J3" s="36"/>
      <c r="K3" s="36"/>
      <c r="L3" s="36"/>
      <c r="M3" s="36"/>
      <c r="N3" s="36"/>
      <c r="O3" s="36"/>
    </row>
    <row r="4" spans="1:15" ht="33.75" customHeight="1" x14ac:dyDescent="0.25">
      <c r="A4" s="37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spans="1:15" x14ac:dyDescent="0.25">
      <c r="A5" s="5" t="s">
        <v>18</v>
      </c>
      <c r="B5" s="2">
        <v>20</v>
      </c>
      <c r="C5" s="2">
        <f t="shared" ref="C5:C13" si="0">ROUND(5000*SQRT(B5),0)</f>
        <v>22361</v>
      </c>
      <c r="D5" s="2">
        <v>0.2</v>
      </c>
      <c r="E5" s="2">
        <f t="shared" ref="E5:E12" si="1">ROUND(C5/(2*(1+D5)),0)</f>
        <v>9317</v>
      </c>
      <c r="F5" s="2">
        <v>25</v>
      </c>
      <c r="G5" s="2">
        <f t="shared" ref="G5:G13" si="2">ROUND(F5*1000/9.81,0)</f>
        <v>2548</v>
      </c>
      <c r="H5" s="2">
        <v>9.9000000000000001E-6</v>
      </c>
      <c r="I5" s="2">
        <f t="shared" ref="I5:I12" si="3">ROUND(B5*145.037738,0)</f>
        <v>2901</v>
      </c>
      <c r="J5" s="2">
        <f t="shared" ref="J5:J13" si="4">ROUND(I5/1000,2)</f>
        <v>2.9</v>
      </c>
      <c r="K5" s="2">
        <f t="shared" ref="K5:K12" si="5">ROUND(C5*145.037738,0)</f>
        <v>3243189</v>
      </c>
      <c r="L5" s="2">
        <f t="shared" ref="L5:L13" si="6">ROUND(K5/1000,0)</f>
        <v>3243</v>
      </c>
      <c r="M5" s="2">
        <f t="shared" ref="M5:M12" si="7">ROUND(57000*SQRT(I5),0)</f>
        <v>3070073</v>
      </c>
      <c r="N5" s="2">
        <f t="shared" ref="N5:N12" si="8">ROUND(F5*6.36588,1)</f>
        <v>159.1</v>
      </c>
      <c r="O5" s="2">
        <f t="shared" ref="O5:O12" si="9">ROUND(H5*9/5,8)</f>
        <v>1.7819999999999999E-5</v>
      </c>
    </row>
    <row r="6" spans="1:15" x14ac:dyDescent="0.25">
      <c r="A6" s="5" t="s">
        <v>19</v>
      </c>
      <c r="B6" s="2">
        <v>25</v>
      </c>
      <c r="C6" s="2">
        <f t="shared" si="0"/>
        <v>25000</v>
      </c>
      <c r="D6" s="2">
        <v>0.2</v>
      </c>
      <c r="E6" s="2">
        <f t="shared" si="1"/>
        <v>10417</v>
      </c>
      <c r="F6" s="2">
        <v>25</v>
      </c>
      <c r="G6" s="2">
        <f t="shared" si="2"/>
        <v>2548</v>
      </c>
      <c r="H6" s="2">
        <v>9.9000000000000001E-6</v>
      </c>
      <c r="I6" s="2">
        <f t="shared" si="3"/>
        <v>3626</v>
      </c>
      <c r="J6" s="2">
        <f t="shared" si="4"/>
        <v>3.63</v>
      </c>
      <c r="K6" s="2">
        <f t="shared" si="5"/>
        <v>3625943</v>
      </c>
      <c r="L6" s="2">
        <f t="shared" si="6"/>
        <v>3626</v>
      </c>
      <c r="M6" s="2">
        <f t="shared" si="7"/>
        <v>3432328</v>
      </c>
      <c r="N6" s="2">
        <f t="shared" si="8"/>
        <v>159.1</v>
      </c>
      <c r="O6" s="2">
        <f t="shared" si="9"/>
        <v>1.7819999999999999E-5</v>
      </c>
    </row>
    <row r="7" spans="1:15" x14ac:dyDescent="0.25">
      <c r="A7" s="5" t="s">
        <v>20</v>
      </c>
      <c r="B7" s="2">
        <v>30</v>
      </c>
      <c r="C7" s="2">
        <f t="shared" si="0"/>
        <v>27386</v>
      </c>
      <c r="D7" s="2">
        <v>0.2</v>
      </c>
      <c r="E7" s="2">
        <f t="shared" si="1"/>
        <v>11411</v>
      </c>
      <c r="F7" s="2">
        <v>25</v>
      </c>
      <c r="G7" s="2">
        <f t="shared" si="2"/>
        <v>2548</v>
      </c>
      <c r="H7" s="2">
        <v>9.9000000000000001E-6</v>
      </c>
      <c r="I7" s="2">
        <f t="shared" si="3"/>
        <v>4351</v>
      </c>
      <c r="J7" s="2">
        <f t="shared" si="4"/>
        <v>4.3499999999999996</v>
      </c>
      <c r="K7" s="2">
        <f t="shared" si="5"/>
        <v>3972003</v>
      </c>
      <c r="L7" s="2">
        <f t="shared" si="6"/>
        <v>3972</v>
      </c>
      <c r="M7" s="2">
        <f t="shared" si="7"/>
        <v>3759840</v>
      </c>
      <c r="N7" s="2">
        <f t="shared" si="8"/>
        <v>159.1</v>
      </c>
      <c r="O7" s="2">
        <f t="shared" si="9"/>
        <v>1.7819999999999999E-5</v>
      </c>
    </row>
    <row r="8" spans="1:15" x14ac:dyDescent="0.25">
      <c r="A8" s="5" t="s">
        <v>21</v>
      </c>
      <c r="B8" s="2">
        <v>35</v>
      </c>
      <c r="C8" s="2">
        <f t="shared" si="0"/>
        <v>29580</v>
      </c>
      <c r="D8" s="2">
        <v>0.2</v>
      </c>
      <c r="E8" s="2">
        <f t="shared" si="1"/>
        <v>12325</v>
      </c>
      <c r="F8" s="2">
        <v>25</v>
      </c>
      <c r="G8" s="2">
        <f t="shared" si="2"/>
        <v>2548</v>
      </c>
      <c r="H8" s="2">
        <v>9.9000000000000001E-6</v>
      </c>
      <c r="I8" s="2">
        <f t="shared" si="3"/>
        <v>5076</v>
      </c>
      <c r="J8" s="2">
        <f t="shared" si="4"/>
        <v>5.08</v>
      </c>
      <c r="K8" s="2">
        <f t="shared" si="5"/>
        <v>4290216</v>
      </c>
      <c r="L8" s="2">
        <f t="shared" si="6"/>
        <v>4290</v>
      </c>
      <c r="M8" s="2">
        <f t="shared" si="7"/>
        <v>4061025</v>
      </c>
      <c r="N8" s="2">
        <f t="shared" si="8"/>
        <v>159.1</v>
      </c>
      <c r="O8" s="2">
        <f t="shared" si="9"/>
        <v>1.7819999999999999E-5</v>
      </c>
    </row>
    <row r="9" spans="1:15" x14ac:dyDescent="0.25">
      <c r="A9" s="5" t="s">
        <v>22</v>
      </c>
      <c r="B9" s="2">
        <v>40</v>
      </c>
      <c r="C9" s="2">
        <f t="shared" si="0"/>
        <v>31623</v>
      </c>
      <c r="D9" s="2">
        <v>0.2</v>
      </c>
      <c r="E9" s="2">
        <f t="shared" si="1"/>
        <v>13176</v>
      </c>
      <c r="F9" s="2">
        <v>25</v>
      </c>
      <c r="G9" s="2">
        <f t="shared" si="2"/>
        <v>2548</v>
      </c>
      <c r="H9" s="2">
        <v>9.9000000000000001E-6</v>
      </c>
      <c r="I9" s="2">
        <f t="shared" si="3"/>
        <v>5802</v>
      </c>
      <c r="J9" s="2">
        <f t="shared" si="4"/>
        <v>5.8</v>
      </c>
      <c r="K9" s="2">
        <f t="shared" si="5"/>
        <v>4586528</v>
      </c>
      <c r="L9" s="2">
        <f t="shared" si="6"/>
        <v>4587</v>
      </c>
      <c r="M9" s="2">
        <f t="shared" si="7"/>
        <v>4341739</v>
      </c>
      <c r="N9" s="2">
        <f t="shared" si="8"/>
        <v>159.1</v>
      </c>
      <c r="O9" s="2">
        <f t="shared" si="9"/>
        <v>1.7819999999999999E-5</v>
      </c>
    </row>
    <row r="10" spans="1:15" x14ac:dyDescent="0.25">
      <c r="A10" s="5" t="s">
        <v>23</v>
      </c>
      <c r="B10" s="2">
        <v>45</v>
      </c>
      <c r="C10" s="2">
        <f t="shared" si="0"/>
        <v>33541</v>
      </c>
      <c r="D10" s="2">
        <v>0.2</v>
      </c>
      <c r="E10" s="2">
        <f t="shared" si="1"/>
        <v>13975</v>
      </c>
      <c r="F10" s="2">
        <v>25</v>
      </c>
      <c r="G10" s="2">
        <f t="shared" si="2"/>
        <v>2548</v>
      </c>
      <c r="H10" s="2">
        <v>9.9000000000000001E-6</v>
      </c>
      <c r="I10" s="2">
        <f t="shared" si="3"/>
        <v>6527</v>
      </c>
      <c r="J10" s="2">
        <f t="shared" si="4"/>
        <v>6.53</v>
      </c>
      <c r="K10" s="2">
        <f t="shared" si="5"/>
        <v>4864711</v>
      </c>
      <c r="L10" s="2">
        <f t="shared" si="6"/>
        <v>4865</v>
      </c>
      <c r="M10" s="2">
        <f t="shared" si="7"/>
        <v>4605021</v>
      </c>
      <c r="N10" s="2">
        <f t="shared" si="8"/>
        <v>159.1</v>
      </c>
      <c r="O10" s="2">
        <f t="shared" si="9"/>
        <v>1.7819999999999999E-5</v>
      </c>
    </row>
    <row r="11" spans="1:15" x14ac:dyDescent="0.25">
      <c r="A11" s="5" t="s">
        <v>24</v>
      </c>
      <c r="B11" s="2">
        <v>50</v>
      </c>
      <c r="C11" s="2">
        <f t="shared" si="0"/>
        <v>35355</v>
      </c>
      <c r="D11" s="2">
        <v>0.2</v>
      </c>
      <c r="E11" s="2">
        <f t="shared" si="1"/>
        <v>14731</v>
      </c>
      <c r="F11" s="2">
        <v>25</v>
      </c>
      <c r="G11" s="2">
        <f t="shared" si="2"/>
        <v>2548</v>
      </c>
      <c r="H11" s="2">
        <v>9.9000000000000001E-6</v>
      </c>
      <c r="I11" s="2">
        <f t="shared" si="3"/>
        <v>7252</v>
      </c>
      <c r="J11" s="2">
        <f t="shared" si="4"/>
        <v>7.25</v>
      </c>
      <c r="K11" s="2">
        <f t="shared" si="5"/>
        <v>5127809</v>
      </c>
      <c r="L11" s="2">
        <f t="shared" si="6"/>
        <v>5128</v>
      </c>
      <c r="M11" s="2">
        <f t="shared" si="7"/>
        <v>4854044</v>
      </c>
      <c r="N11" s="2">
        <f t="shared" si="8"/>
        <v>159.1</v>
      </c>
      <c r="O11" s="2">
        <f t="shared" si="9"/>
        <v>1.7819999999999999E-5</v>
      </c>
    </row>
    <row r="12" spans="1:15" x14ac:dyDescent="0.25">
      <c r="A12" s="5" t="s">
        <v>25</v>
      </c>
      <c r="B12" s="2">
        <v>60</v>
      </c>
      <c r="C12" s="2">
        <f t="shared" si="0"/>
        <v>38730</v>
      </c>
      <c r="D12" s="2">
        <v>0.2</v>
      </c>
      <c r="E12" s="2">
        <f t="shared" si="1"/>
        <v>16138</v>
      </c>
      <c r="F12" s="2">
        <v>25</v>
      </c>
      <c r="G12" s="2">
        <f t="shared" si="2"/>
        <v>2548</v>
      </c>
      <c r="H12" s="2">
        <v>9.9000000000000001E-6</v>
      </c>
      <c r="I12" s="2">
        <f t="shared" si="3"/>
        <v>8702</v>
      </c>
      <c r="J12" s="2">
        <f t="shared" si="4"/>
        <v>8.6999999999999993</v>
      </c>
      <c r="K12" s="2">
        <f t="shared" si="5"/>
        <v>5617312</v>
      </c>
      <c r="L12" s="2">
        <f t="shared" si="6"/>
        <v>5617</v>
      </c>
      <c r="M12" s="2">
        <f t="shared" si="7"/>
        <v>5317217</v>
      </c>
      <c r="N12" s="2">
        <f t="shared" si="8"/>
        <v>159.1</v>
      </c>
      <c r="O12" s="2">
        <f t="shared" si="9"/>
        <v>1.7819999999999999E-5</v>
      </c>
    </row>
    <row r="13" spans="1:15" ht="25.5" x14ac:dyDescent="0.25">
      <c r="A13" s="5" t="s">
        <v>348</v>
      </c>
      <c r="B13" s="6">
        <v>27.577008435236799</v>
      </c>
      <c r="C13" s="2">
        <f t="shared" si="0"/>
        <v>26257</v>
      </c>
      <c r="D13" s="6">
        <v>0.2</v>
      </c>
      <c r="E13" s="2">
        <f t="shared" ref="E13" si="10">ROUND(C13/(2*(1+D13)),0)</f>
        <v>10940</v>
      </c>
      <c r="F13" s="6">
        <v>25</v>
      </c>
      <c r="G13" s="2">
        <f t="shared" si="2"/>
        <v>2548</v>
      </c>
      <c r="H13" s="2">
        <v>9.9000000000000001E-6</v>
      </c>
      <c r="I13" s="2">
        <f t="shared" ref="I13" si="11">ROUND(B13*145.037738,0)</f>
        <v>4000</v>
      </c>
      <c r="J13" s="2">
        <f t="shared" si="4"/>
        <v>4</v>
      </c>
      <c r="K13" s="2">
        <f t="shared" ref="K13" si="12">ROUND(C13*145.037738,0)</f>
        <v>3808256</v>
      </c>
      <c r="L13" s="2">
        <f t="shared" si="6"/>
        <v>3808</v>
      </c>
      <c r="M13" s="2">
        <f t="shared" ref="M13" si="13">ROUND(57000*SQRT(I13),0)</f>
        <v>3604997</v>
      </c>
      <c r="N13" s="2">
        <f t="shared" ref="N13" si="14">ROUND(F13*6.36588,1)</f>
        <v>159.1</v>
      </c>
      <c r="O13" s="2">
        <f t="shared" ref="O13" si="15">ROUND(H13*9/5,8)</f>
        <v>1.7819999999999999E-5</v>
      </c>
    </row>
  </sheetData>
  <mergeCells count="4">
    <mergeCell ref="A1:O1"/>
    <mergeCell ref="A3:A4"/>
    <mergeCell ref="B3:H3"/>
    <mergeCell ref="I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5" sqref="B15"/>
    </sheetView>
  </sheetViews>
  <sheetFormatPr defaultColWidth="8.7109375" defaultRowHeight="15" x14ac:dyDescent="0.25"/>
  <cols>
    <col min="1" max="1" width="12" style="1" customWidth="1"/>
    <col min="2" max="2" width="11" style="1" customWidth="1"/>
    <col min="3" max="3" width="12" style="1" customWidth="1"/>
    <col min="4" max="5" width="11" style="1" customWidth="1"/>
    <col min="6" max="6" width="12" style="1" customWidth="1"/>
    <col min="7" max="9" width="10" style="1" customWidth="1"/>
    <col min="10" max="10" width="11" style="1" customWidth="1"/>
    <col min="11" max="11" width="15" style="1" customWidth="1"/>
    <col min="12" max="16384" width="8.7109375" style="1"/>
  </cols>
  <sheetData>
    <row r="1" spans="1:11" ht="25.5" customHeight="1" x14ac:dyDescent="0.25">
      <c r="A1" s="34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5" t="s">
        <v>27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.75" customHeight="1" x14ac:dyDescent="0.25">
      <c r="A4" s="37" t="s">
        <v>1</v>
      </c>
      <c r="B4" s="36" t="s">
        <v>28</v>
      </c>
      <c r="C4" s="36"/>
      <c r="D4" s="36"/>
      <c r="E4" s="36"/>
      <c r="F4" s="36"/>
      <c r="G4" s="36" t="s">
        <v>29</v>
      </c>
      <c r="H4" s="36"/>
      <c r="I4" s="36"/>
      <c r="J4" s="36"/>
      <c r="K4" s="36"/>
    </row>
    <row r="5" spans="1:11" ht="33.75" customHeight="1" x14ac:dyDescent="0.25">
      <c r="A5" s="37"/>
      <c r="B5" s="4" t="s">
        <v>30</v>
      </c>
      <c r="C5" s="4" t="s">
        <v>31</v>
      </c>
      <c r="D5" s="4" t="s">
        <v>32</v>
      </c>
      <c r="E5" s="4" t="s">
        <v>6</v>
      </c>
      <c r="F5" s="4" t="s">
        <v>8</v>
      </c>
      <c r="G5" s="4" t="s">
        <v>33</v>
      </c>
      <c r="H5" s="4" t="s">
        <v>34</v>
      </c>
      <c r="I5" s="4" t="s">
        <v>35</v>
      </c>
      <c r="J5" s="4" t="s">
        <v>16</v>
      </c>
      <c r="K5" s="4" t="s">
        <v>36</v>
      </c>
    </row>
    <row r="6" spans="1:11" x14ac:dyDescent="0.25">
      <c r="A6" s="5" t="s">
        <v>37</v>
      </c>
      <c r="B6" s="2">
        <v>415</v>
      </c>
      <c r="C6" s="2">
        <v>485</v>
      </c>
      <c r="D6" s="2">
        <v>200000</v>
      </c>
      <c r="E6" s="2">
        <v>0.3</v>
      </c>
      <c r="F6" s="2">
        <v>78.5</v>
      </c>
      <c r="G6" s="2">
        <f t="shared" ref="G6:H13" si="0">ROUND(B6*145.037738/1000,1)</f>
        <v>60.2</v>
      </c>
      <c r="H6" s="2">
        <f t="shared" si="0"/>
        <v>70.3</v>
      </c>
      <c r="I6" s="2">
        <f t="shared" ref="I6:I13" si="1">ROUND(D6*145.037738/1000,0)</f>
        <v>29008</v>
      </c>
      <c r="J6" s="2">
        <f t="shared" ref="J6:J13" si="2">ROUND(F6*6.36588,1)</f>
        <v>499.7</v>
      </c>
      <c r="K6" s="2" t="s">
        <v>38</v>
      </c>
    </row>
    <row r="7" spans="1:11" x14ac:dyDescent="0.25">
      <c r="A7" s="5" t="s">
        <v>39</v>
      </c>
      <c r="B7" s="2">
        <v>500</v>
      </c>
      <c r="C7" s="2">
        <v>545</v>
      </c>
      <c r="D7" s="2">
        <v>200000</v>
      </c>
      <c r="E7" s="2">
        <v>0.3</v>
      </c>
      <c r="F7" s="2">
        <v>78.5</v>
      </c>
      <c r="G7" s="2">
        <f t="shared" si="0"/>
        <v>72.5</v>
      </c>
      <c r="H7" s="2">
        <f t="shared" si="0"/>
        <v>79</v>
      </c>
      <c r="I7" s="2">
        <f t="shared" si="1"/>
        <v>29008</v>
      </c>
      <c r="J7" s="2">
        <f t="shared" si="2"/>
        <v>499.7</v>
      </c>
      <c r="K7" s="2" t="s">
        <v>38</v>
      </c>
    </row>
    <row r="8" spans="1:11" x14ac:dyDescent="0.25">
      <c r="A8" s="5" t="s">
        <v>40</v>
      </c>
      <c r="B8" s="2">
        <v>500</v>
      </c>
      <c r="C8" s="2">
        <v>565</v>
      </c>
      <c r="D8" s="2">
        <v>200000</v>
      </c>
      <c r="E8" s="2">
        <v>0.3</v>
      </c>
      <c r="F8" s="2">
        <v>78.5</v>
      </c>
      <c r="G8" s="2">
        <f t="shared" si="0"/>
        <v>72.5</v>
      </c>
      <c r="H8" s="2">
        <f t="shared" si="0"/>
        <v>81.900000000000006</v>
      </c>
      <c r="I8" s="2">
        <f t="shared" si="1"/>
        <v>29008</v>
      </c>
      <c r="J8" s="2">
        <f t="shared" si="2"/>
        <v>499.7</v>
      </c>
      <c r="K8" s="2" t="s">
        <v>38</v>
      </c>
    </row>
    <row r="9" spans="1:11" x14ac:dyDescent="0.25">
      <c r="A9" s="5" t="s">
        <v>41</v>
      </c>
      <c r="B9" s="2">
        <v>550</v>
      </c>
      <c r="C9" s="2">
        <v>585</v>
      </c>
      <c r="D9" s="2">
        <v>200000</v>
      </c>
      <c r="E9" s="2">
        <v>0.3</v>
      </c>
      <c r="F9" s="2">
        <v>78.5</v>
      </c>
      <c r="G9" s="2">
        <f t="shared" si="0"/>
        <v>79.8</v>
      </c>
      <c r="H9" s="2">
        <f t="shared" si="0"/>
        <v>84.8</v>
      </c>
      <c r="I9" s="2">
        <f t="shared" si="1"/>
        <v>29008</v>
      </c>
      <c r="J9" s="2">
        <f t="shared" si="2"/>
        <v>499.7</v>
      </c>
      <c r="K9" s="2" t="s">
        <v>38</v>
      </c>
    </row>
    <row r="10" spans="1:11" x14ac:dyDescent="0.25">
      <c r="A10" s="5" t="s">
        <v>42</v>
      </c>
      <c r="B10" s="2">
        <v>280</v>
      </c>
      <c r="C10" s="2">
        <v>420</v>
      </c>
      <c r="D10" s="2">
        <v>200000</v>
      </c>
      <c r="E10" s="2">
        <v>0.3</v>
      </c>
      <c r="F10" s="2">
        <v>78.5</v>
      </c>
      <c r="G10" s="2">
        <f t="shared" si="0"/>
        <v>40.6</v>
      </c>
      <c r="H10" s="2">
        <f t="shared" si="0"/>
        <v>60.9</v>
      </c>
      <c r="I10" s="2">
        <f t="shared" si="1"/>
        <v>29008</v>
      </c>
      <c r="J10" s="2">
        <f t="shared" si="2"/>
        <v>499.7</v>
      </c>
      <c r="K10" s="2" t="s">
        <v>43</v>
      </c>
    </row>
    <row r="11" spans="1:11" x14ac:dyDescent="0.25">
      <c r="A11" s="5" t="s">
        <v>44</v>
      </c>
      <c r="B11" s="2">
        <v>420</v>
      </c>
      <c r="C11" s="2">
        <v>620</v>
      </c>
      <c r="D11" s="2">
        <v>200000</v>
      </c>
      <c r="E11" s="2">
        <v>0.3</v>
      </c>
      <c r="F11" s="2">
        <v>78.5</v>
      </c>
      <c r="G11" s="2">
        <f t="shared" si="0"/>
        <v>60.9</v>
      </c>
      <c r="H11" s="2">
        <f t="shared" si="0"/>
        <v>89.9</v>
      </c>
      <c r="I11" s="2">
        <f t="shared" si="1"/>
        <v>29008</v>
      </c>
      <c r="J11" s="2">
        <f t="shared" si="2"/>
        <v>499.7</v>
      </c>
      <c r="K11" s="2" t="s">
        <v>43</v>
      </c>
    </row>
    <row r="12" spans="1:11" x14ac:dyDescent="0.25">
      <c r="A12" s="5" t="s">
        <v>45</v>
      </c>
      <c r="B12" s="2">
        <v>520</v>
      </c>
      <c r="C12" s="2">
        <v>690</v>
      </c>
      <c r="D12" s="2">
        <v>200000</v>
      </c>
      <c r="E12" s="2">
        <v>0.3</v>
      </c>
      <c r="F12" s="2">
        <v>78.5</v>
      </c>
      <c r="G12" s="2">
        <f t="shared" si="0"/>
        <v>75.400000000000006</v>
      </c>
      <c r="H12" s="2">
        <f t="shared" si="0"/>
        <v>100.1</v>
      </c>
      <c r="I12" s="2">
        <f t="shared" si="1"/>
        <v>29008</v>
      </c>
      <c r="J12" s="2">
        <f t="shared" si="2"/>
        <v>499.7</v>
      </c>
      <c r="K12" s="2" t="s">
        <v>43</v>
      </c>
    </row>
    <row r="13" spans="1:11" ht="30" x14ac:dyDescent="0.25">
      <c r="A13" s="5" t="s">
        <v>46</v>
      </c>
      <c r="B13" s="2">
        <v>550</v>
      </c>
      <c r="C13" s="2">
        <v>725</v>
      </c>
      <c r="D13" s="2">
        <v>200000</v>
      </c>
      <c r="E13" s="2">
        <v>0.3</v>
      </c>
      <c r="F13" s="2">
        <v>78.5</v>
      </c>
      <c r="G13" s="2">
        <f t="shared" si="0"/>
        <v>79.8</v>
      </c>
      <c r="H13" s="2">
        <f t="shared" si="0"/>
        <v>105.2</v>
      </c>
      <c r="I13" s="2">
        <f t="shared" si="1"/>
        <v>29008</v>
      </c>
      <c r="J13" s="2">
        <f t="shared" si="2"/>
        <v>499.7</v>
      </c>
      <c r="K13" s="2" t="s">
        <v>47</v>
      </c>
    </row>
  </sheetData>
  <mergeCells count="5">
    <mergeCell ref="A1:K1"/>
    <mergeCell ref="A2:K2"/>
    <mergeCell ref="A4:A5"/>
    <mergeCell ref="B4:F4"/>
    <mergeCell ref="G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9" sqref="H19"/>
    </sheetView>
  </sheetViews>
  <sheetFormatPr defaultColWidth="8.7109375" defaultRowHeight="15" x14ac:dyDescent="0.25"/>
  <cols>
    <col min="1" max="1" width="15.85546875" style="1" bestFit="1" customWidth="1"/>
    <col min="2" max="2" width="8.140625" style="1" bestFit="1" customWidth="1"/>
    <col min="3" max="4" width="7.28515625" style="1" bestFit="1" customWidth="1"/>
    <col min="5" max="5" width="10.140625" style="1" bestFit="1" customWidth="1"/>
    <col min="6" max="7" width="7.28515625" style="1" bestFit="1" customWidth="1"/>
    <col min="8" max="8" width="10.140625" style="1" bestFit="1" customWidth="1"/>
    <col min="9" max="9" width="11.85546875" style="1" bestFit="1" customWidth="1"/>
    <col min="10" max="10" width="19.42578125" style="1" bestFit="1" customWidth="1"/>
    <col min="11" max="11" width="29.85546875" style="1" bestFit="1" customWidth="1"/>
    <col min="12" max="16384" width="8.7109375" style="1"/>
  </cols>
  <sheetData>
    <row r="1" spans="1:11" ht="25.5" customHeight="1" x14ac:dyDescent="0.25">
      <c r="A1" s="34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5" t="s">
        <v>49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.75" customHeight="1" x14ac:dyDescent="0.25">
      <c r="A4" s="37" t="s">
        <v>50</v>
      </c>
      <c r="B4" s="37" t="s">
        <v>51</v>
      </c>
      <c r="C4" s="36" t="s">
        <v>52</v>
      </c>
      <c r="D4" s="36"/>
      <c r="E4" s="36"/>
      <c r="F4" s="36" t="s">
        <v>53</v>
      </c>
      <c r="G4" s="36"/>
      <c r="H4" s="36"/>
      <c r="I4" s="36"/>
      <c r="J4" s="37" t="s">
        <v>54</v>
      </c>
      <c r="K4" s="37" t="s">
        <v>55</v>
      </c>
    </row>
    <row r="5" spans="1:11" ht="30" customHeight="1" x14ac:dyDescent="0.25">
      <c r="A5" s="37"/>
      <c r="B5" s="37"/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37"/>
      <c r="K5" s="37"/>
    </row>
    <row r="6" spans="1:11" ht="30" x14ac:dyDescent="0.25">
      <c r="A6" s="7" t="s">
        <v>63</v>
      </c>
      <c r="B6" s="2" t="s">
        <v>19</v>
      </c>
      <c r="C6" s="2">
        <v>380</v>
      </c>
      <c r="D6" s="2">
        <v>230</v>
      </c>
      <c r="E6" s="2">
        <f t="shared" ref="E6:E12" si="0">C6*D6</f>
        <v>87400</v>
      </c>
      <c r="F6" s="2">
        <f t="shared" ref="F6:G12" si="1">ROUND(C6*0.0393700787,2)</f>
        <v>14.96</v>
      </c>
      <c r="G6" s="2">
        <f t="shared" si="1"/>
        <v>9.06</v>
      </c>
      <c r="H6" s="2">
        <f t="shared" ref="H6:H12" si="2">ROUND(E6*0.0393700787*0.0393700787,1)</f>
        <v>135.5</v>
      </c>
      <c r="I6" s="2">
        <f t="shared" ref="I6:I12" si="3">ROUND(G6*F6^2/6,1)</f>
        <v>337.9</v>
      </c>
      <c r="J6" s="2" t="s">
        <v>64</v>
      </c>
      <c r="K6" s="8" t="s">
        <v>65</v>
      </c>
    </row>
    <row r="7" spans="1:11" ht="30" x14ac:dyDescent="0.25">
      <c r="A7" s="7" t="s">
        <v>66</v>
      </c>
      <c r="B7" s="2" t="s">
        <v>19</v>
      </c>
      <c r="C7" s="2">
        <v>450</v>
      </c>
      <c r="D7" s="2">
        <v>230</v>
      </c>
      <c r="E7" s="2">
        <f t="shared" si="0"/>
        <v>103500</v>
      </c>
      <c r="F7" s="2">
        <f t="shared" si="1"/>
        <v>17.72</v>
      </c>
      <c r="G7" s="2">
        <f t="shared" si="1"/>
        <v>9.06</v>
      </c>
      <c r="H7" s="2">
        <f t="shared" si="2"/>
        <v>160.4</v>
      </c>
      <c r="I7" s="2">
        <f t="shared" si="3"/>
        <v>474.1</v>
      </c>
      <c r="J7" s="2" t="s">
        <v>67</v>
      </c>
      <c r="K7" s="8" t="s">
        <v>68</v>
      </c>
    </row>
    <row r="8" spans="1:11" x14ac:dyDescent="0.25">
      <c r="A8" s="7" t="s">
        <v>69</v>
      </c>
      <c r="B8" s="2" t="s">
        <v>19</v>
      </c>
      <c r="C8" s="2">
        <v>600</v>
      </c>
      <c r="D8" s="2">
        <v>230</v>
      </c>
      <c r="E8" s="2">
        <f t="shared" si="0"/>
        <v>138000</v>
      </c>
      <c r="F8" s="2">
        <f t="shared" si="1"/>
        <v>23.62</v>
      </c>
      <c r="G8" s="2">
        <f t="shared" si="1"/>
        <v>9.06</v>
      </c>
      <c r="H8" s="2">
        <f t="shared" si="2"/>
        <v>213.9</v>
      </c>
      <c r="I8" s="2">
        <f t="shared" si="3"/>
        <v>842.4</v>
      </c>
      <c r="J8" s="2" t="s">
        <v>70</v>
      </c>
      <c r="K8" s="8" t="s">
        <v>71</v>
      </c>
    </row>
    <row r="9" spans="1:11" ht="30" x14ac:dyDescent="0.25">
      <c r="A9" s="7" t="s">
        <v>72</v>
      </c>
      <c r="B9" s="2" t="s">
        <v>20</v>
      </c>
      <c r="C9" s="2">
        <v>600</v>
      </c>
      <c r="D9" s="2">
        <v>300</v>
      </c>
      <c r="E9" s="2">
        <f t="shared" si="0"/>
        <v>180000</v>
      </c>
      <c r="F9" s="2">
        <f t="shared" si="1"/>
        <v>23.62</v>
      </c>
      <c r="G9" s="2">
        <f t="shared" si="1"/>
        <v>11.81</v>
      </c>
      <c r="H9" s="2">
        <f t="shared" si="2"/>
        <v>279</v>
      </c>
      <c r="I9" s="2">
        <f t="shared" si="3"/>
        <v>1098.0999999999999</v>
      </c>
      <c r="J9" s="2" t="s">
        <v>73</v>
      </c>
      <c r="K9" s="8" t="s">
        <v>74</v>
      </c>
    </row>
    <row r="10" spans="1:11" x14ac:dyDescent="0.25">
      <c r="A10" s="7" t="s">
        <v>75</v>
      </c>
      <c r="B10" s="2" t="s">
        <v>20</v>
      </c>
      <c r="C10" s="2">
        <v>750</v>
      </c>
      <c r="D10" s="2">
        <v>300</v>
      </c>
      <c r="E10" s="2">
        <f t="shared" si="0"/>
        <v>225000</v>
      </c>
      <c r="F10" s="2">
        <f t="shared" si="1"/>
        <v>29.53</v>
      </c>
      <c r="G10" s="2">
        <f t="shared" si="1"/>
        <v>11.81</v>
      </c>
      <c r="H10" s="2">
        <f t="shared" si="2"/>
        <v>348.8</v>
      </c>
      <c r="I10" s="2">
        <f t="shared" si="3"/>
        <v>1716.4</v>
      </c>
      <c r="J10" s="2" t="s">
        <v>76</v>
      </c>
      <c r="K10" s="8" t="s">
        <v>77</v>
      </c>
    </row>
    <row r="11" spans="1:11" x14ac:dyDescent="0.25">
      <c r="A11" s="7" t="s">
        <v>78</v>
      </c>
      <c r="B11" s="2" t="s">
        <v>22</v>
      </c>
      <c r="C11" s="2">
        <v>900</v>
      </c>
      <c r="D11" s="2">
        <v>400</v>
      </c>
      <c r="E11" s="2">
        <f t="shared" si="0"/>
        <v>360000</v>
      </c>
      <c r="F11" s="2">
        <f t="shared" si="1"/>
        <v>35.43</v>
      </c>
      <c r="G11" s="2">
        <f t="shared" si="1"/>
        <v>15.75</v>
      </c>
      <c r="H11" s="2">
        <f t="shared" si="2"/>
        <v>558</v>
      </c>
      <c r="I11" s="2">
        <f t="shared" si="3"/>
        <v>3295.1</v>
      </c>
      <c r="J11" s="2" t="s">
        <v>79</v>
      </c>
      <c r="K11" s="8" t="s">
        <v>80</v>
      </c>
    </row>
    <row r="12" spans="1:11" ht="30" x14ac:dyDescent="0.25">
      <c r="A12" s="7" t="s">
        <v>81</v>
      </c>
      <c r="B12" s="2" t="s">
        <v>20</v>
      </c>
      <c r="C12" s="2">
        <v>450</v>
      </c>
      <c r="D12" s="2">
        <v>300</v>
      </c>
      <c r="E12" s="2">
        <f t="shared" si="0"/>
        <v>135000</v>
      </c>
      <c r="F12" s="2">
        <f t="shared" si="1"/>
        <v>17.72</v>
      </c>
      <c r="G12" s="2">
        <f t="shared" si="1"/>
        <v>11.81</v>
      </c>
      <c r="H12" s="2">
        <f t="shared" si="2"/>
        <v>209.3</v>
      </c>
      <c r="I12" s="2">
        <f t="shared" si="3"/>
        <v>618.1</v>
      </c>
      <c r="J12" s="2" t="s">
        <v>82</v>
      </c>
      <c r="K12" s="8" t="s">
        <v>83</v>
      </c>
    </row>
  </sheetData>
  <mergeCells count="8">
    <mergeCell ref="A1:K1"/>
    <mergeCell ref="A2:K2"/>
    <mergeCell ref="A4:A5"/>
    <mergeCell ref="B4:B5"/>
    <mergeCell ref="C4:E4"/>
    <mergeCell ref="F4:I4"/>
    <mergeCell ref="J4:J5"/>
    <mergeCell ref="K4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3" sqref="D13"/>
    </sheetView>
  </sheetViews>
  <sheetFormatPr defaultColWidth="8.7109375" defaultRowHeight="15" x14ac:dyDescent="0.25"/>
  <cols>
    <col min="1" max="1" width="15.85546875" style="1" bestFit="1" customWidth="1"/>
    <col min="2" max="2" width="9.140625" style="1" bestFit="1" customWidth="1"/>
    <col min="3" max="4" width="11" style="1" customWidth="1"/>
    <col min="5" max="5" width="12" style="1" customWidth="1"/>
    <col min="6" max="7" width="10" style="1" customWidth="1"/>
    <col min="8" max="8" width="11" style="1" customWidth="1"/>
    <col min="9" max="9" width="13" style="1" customWidth="1"/>
    <col min="10" max="10" width="16" style="1" customWidth="1"/>
    <col min="11" max="11" width="30" style="1" customWidth="1"/>
    <col min="12" max="16384" width="8.7109375" style="1"/>
  </cols>
  <sheetData>
    <row r="1" spans="1:11" ht="25.5" customHeight="1" x14ac:dyDescent="0.25">
      <c r="A1" s="34" t="s">
        <v>84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5" t="s">
        <v>49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spans="1:11" ht="15.75" customHeight="1" x14ac:dyDescent="0.25">
      <c r="A4" s="37" t="s">
        <v>50</v>
      </c>
      <c r="B4" s="37" t="s">
        <v>51</v>
      </c>
      <c r="C4" s="36" t="s">
        <v>52</v>
      </c>
      <c r="D4" s="36"/>
      <c r="E4" s="36"/>
      <c r="F4" s="36" t="s">
        <v>53</v>
      </c>
      <c r="G4" s="36"/>
      <c r="H4" s="36"/>
      <c r="I4" s="36"/>
      <c r="J4" s="37" t="s">
        <v>54</v>
      </c>
      <c r="K4" s="37" t="s">
        <v>55</v>
      </c>
    </row>
    <row r="5" spans="1:11" ht="30" customHeight="1" x14ac:dyDescent="0.25">
      <c r="A5" s="37"/>
      <c r="B5" s="37"/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37"/>
      <c r="K5" s="37"/>
    </row>
    <row r="6" spans="1:11" ht="30" x14ac:dyDescent="0.25">
      <c r="A6" s="7" t="s">
        <v>85</v>
      </c>
      <c r="B6" s="2" t="s">
        <v>19</v>
      </c>
      <c r="C6" s="2">
        <v>230</v>
      </c>
      <c r="D6" s="2">
        <v>230</v>
      </c>
      <c r="E6" s="2">
        <f t="shared" ref="E6:E12" si="0">C6*D6</f>
        <v>52900</v>
      </c>
      <c r="F6" s="2">
        <f t="shared" ref="F6:G12" si="1">ROUND(C6*0.0393700787,2)</f>
        <v>9.06</v>
      </c>
      <c r="G6" s="2">
        <f t="shared" si="1"/>
        <v>9.06</v>
      </c>
      <c r="H6" s="2">
        <f t="shared" ref="H6:H12" si="2">ROUND(E6*0.0393700787*0.0393700787,1)</f>
        <v>82</v>
      </c>
      <c r="I6" s="2">
        <f t="shared" ref="I6:I12" si="3">ROUND(G6*F6^2/6,1)</f>
        <v>123.9</v>
      </c>
      <c r="J6" s="2" t="s">
        <v>64</v>
      </c>
      <c r="K6" s="8" t="s">
        <v>86</v>
      </c>
    </row>
    <row r="7" spans="1:11" ht="30" x14ac:dyDescent="0.25">
      <c r="A7" s="7" t="s">
        <v>87</v>
      </c>
      <c r="B7" s="2" t="s">
        <v>20</v>
      </c>
      <c r="C7" s="2">
        <v>300</v>
      </c>
      <c r="D7" s="2">
        <v>300</v>
      </c>
      <c r="E7" s="2">
        <f t="shared" si="0"/>
        <v>90000</v>
      </c>
      <c r="F7" s="2">
        <f t="shared" si="1"/>
        <v>11.81</v>
      </c>
      <c r="G7" s="2">
        <f t="shared" si="1"/>
        <v>11.81</v>
      </c>
      <c r="H7" s="2">
        <f t="shared" si="2"/>
        <v>139.5</v>
      </c>
      <c r="I7" s="2">
        <f t="shared" si="3"/>
        <v>274.5</v>
      </c>
      <c r="J7" s="2" t="s">
        <v>88</v>
      </c>
      <c r="K7" s="8" t="s">
        <v>89</v>
      </c>
    </row>
    <row r="8" spans="1:11" ht="30" x14ac:dyDescent="0.25">
      <c r="A8" s="7" t="s">
        <v>90</v>
      </c>
      <c r="B8" s="2" t="s">
        <v>20</v>
      </c>
      <c r="C8" s="2">
        <v>450</v>
      </c>
      <c r="D8" s="2">
        <v>450</v>
      </c>
      <c r="E8" s="2">
        <f t="shared" si="0"/>
        <v>202500</v>
      </c>
      <c r="F8" s="2">
        <f t="shared" si="1"/>
        <v>17.72</v>
      </c>
      <c r="G8" s="2">
        <f t="shared" si="1"/>
        <v>17.72</v>
      </c>
      <c r="H8" s="2">
        <f t="shared" si="2"/>
        <v>313.89999999999998</v>
      </c>
      <c r="I8" s="2">
        <f t="shared" si="3"/>
        <v>927.3</v>
      </c>
      <c r="J8" s="2" t="s">
        <v>91</v>
      </c>
      <c r="K8" s="8" t="s">
        <v>92</v>
      </c>
    </row>
    <row r="9" spans="1:11" ht="30" x14ac:dyDescent="0.25">
      <c r="A9" s="7" t="s">
        <v>93</v>
      </c>
      <c r="B9" s="2" t="s">
        <v>21</v>
      </c>
      <c r="C9" s="2">
        <v>600</v>
      </c>
      <c r="D9" s="2">
        <v>600</v>
      </c>
      <c r="E9" s="2">
        <f t="shared" si="0"/>
        <v>360000</v>
      </c>
      <c r="F9" s="2">
        <f t="shared" si="1"/>
        <v>23.62</v>
      </c>
      <c r="G9" s="2">
        <f t="shared" si="1"/>
        <v>23.62</v>
      </c>
      <c r="H9" s="2">
        <f t="shared" si="2"/>
        <v>558</v>
      </c>
      <c r="I9" s="2">
        <f t="shared" si="3"/>
        <v>2196.3000000000002</v>
      </c>
      <c r="J9" s="2" t="s">
        <v>76</v>
      </c>
      <c r="K9" s="8" t="s">
        <v>94</v>
      </c>
    </row>
    <row r="10" spans="1:11" x14ac:dyDescent="0.25">
      <c r="A10" s="7" t="s">
        <v>95</v>
      </c>
      <c r="B10" s="2" t="s">
        <v>22</v>
      </c>
      <c r="C10" s="2">
        <v>750</v>
      </c>
      <c r="D10" s="2">
        <v>750</v>
      </c>
      <c r="E10" s="2">
        <f t="shared" si="0"/>
        <v>562500</v>
      </c>
      <c r="F10" s="2">
        <f t="shared" si="1"/>
        <v>29.53</v>
      </c>
      <c r="G10" s="2">
        <f t="shared" si="1"/>
        <v>29.53</v>
      </c>
      <c r="H10" s="2">
        <f t="shared" si="2"/>
        <v>871.9</v>
      </c>
      <c r="I10" s="2">
        <f t="shared" si="3"/>
        <v>4291.8</v>
      </c>
      <c r="J10" s="2" t="s">
        <v>76</v>
      </c>
      <c r="K10" s="8" t="s">
        <v>96</v>
      </c>
    </row>
    <row r="11" spans="1:11" ht="30" x14ac:dyDescent="0.25">
      <c r="A11" s="7" t="s">
        <v>97</v>
      </c>
      <c r="B11" s="2" t="s">
        <v>20</v>
      </c>
      <c r="C11" s="2">
        <v>600</v>
      </c>
      <c r="D11" s="2">
        <v>230</v>
      </c>
      <c r="E11" s="2">
        <f t="shared" si="0"/>
        <v>138000</v>
      </c>
      <c r="F11" s="2">
        <f t="shared" si="1"/>
        <v>23.62</v>
      </c>
      <c r="G11" s="2">
        <f t="shared" si="1"/>
        <v>9.06</v>
      </c>
      <c r="H11" s="2">
        <f t="shared" si="2"/>
        <v>213.9</v>
      </c>
      <c r="I11" s="2">
        <f t="shared" si="3"/>
        <v>842.4</v>
      </c>
      <c r="J11" s="2" t="s">
        <v>98</v>
      </c>
      <c r="K11" s="8" t="s">
        <v>99</v>
      </c>
    </row>
    <row r="12" spans="1:11" ht="30" x14ac:dyDescent="0.25">
      <c r="A12" s="7" t="s">
        <v>100</v>
      </c>
      <c r="B12" s="2" t="s">
        <v>21</v>
      </c>
      <c r="C12" s="2">
        <v>500</v>
      </c>
      <c r="D12" s="2">
        <v>500</v>
      </c>
      <c r="E12" s="2">
        <f t="shared" si="0"/>
        <v>250000</v>
      </c>
      <c r="F12" s="2">
        <f t="shared" si="1"/>
        <v>19.690000000000001</v>
      </c>
      <c r="G12" s="2">
        <f t="shared" si="1"/>
        <v>19.690000000000001</v>
      </c>
      <c r="H12" s="2">
        <f t="shared" si="2"/>
        <v>387.5</v>
      </c>
      <c r="I12" s="2">
        <f t="shared" si="3"/>
        <v>1272.3</v>
      </c>
      <c r="J12" s="2" t="s">
        <v>82</v>
      </c>
      <c r="K12" s="8" t="s">
        <v>101</v>
      </c>
    </row>
    <row r="13" spans="1:11" ht="30" x14ac:dyDescent="0.25">
      <c r="A13" s="7" t="s">
        <v>348</v>
      </c>
      <c r="B13" s="2" t="s">
        <v>20</v>
      </c>
      <c r="C13" s="6">
        <v>457.26101694915297</v>
      </c>
      <c r="D13" s="6">
        <v>381.05084745762701</v>
      </c>
      <c r="E13" s="2">
        <f t="shared" ref="E13" si="4">C13*D13</f>
        <v>174239.69801781108</v>
      </c>
      <c r="F13" s="2">
        <f t="shared" ref="F13" si="5">ROUND(C13*0.0393700787,2)</f>
        <v>18</v>
      </c>
      <c r="G13" s="2">
        <f t="shared" ref="G13" si="6">ROUND(D13*0.0393700787,2)</f>
        <v>15</v>
      </c>
      <c r="H13" s="2">
        <f t="shared" ref="H13" si="7">ROUND(E13*0.0393700787*0.0393700787,1)</f>
        <v>270.10000000000002</v>
      </c>
      <c r="I13" s="2">
        <f t="shared" ref="I13" si="8">ROUND(G13*F13^2/6,1)</f>
        <v>810</v>
      </c>
      <c r="J13" s="2" t="s">
        <v>88</v>
      </c>
      <c r="K13" s="8" t="s">
        <v>89</v>
      </c>
    </row>
  </sheetData>
  <mergeCells count="8">
    <mergeCell ref="A1:K1"/>
    <mergeCell ref="A2:K2"/>
    <mergeCell ref="A4:A5"/>
    <mergeCell ref="B4:B5"/>
    <mergeCell ref="C4:E4"/>
    <mergeCell ref="F4:I4"/>
    <mergeCell ref="J4:J5"/>
    <mergeCell ref="K4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8.7109375" defaultRowHeight="15" x14ac:dyDescent="0.25"/>
  <cols>
    <col min="1" max="2" width="12" style="1" customWidth="1"/>
    <col min="3" max="3" width="11" style="1" customWidth="1"/>
    <col min="4" max="4" width="12" style="1" customWidth="1"/>
    <col min="5" max="5" width="10" style="1" customWidth="1"/>
    <col min="6" max="6" width="11" style="1" customWidth="1"/>
    <col min="7" max="7" width="16" style="1" customWidth="1"/>
    <col min="8" max="8" width="12" style="1" customWidth="1"/>
    <col min="9" max="9" width="28" style="1" customWidth="1"/>
    <col min="10" max="16384" width="8.7109375" style="1"/>
  </cols>
  <sheetData>
    <row r="1" spans="1:9" ht="25.5" customHeight="1" x14ac:dyDescent="0.25">
      <c r="A1" s="34" t="s">
        <v>102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103</v>
      </c>
      <c r="B2" s="35"/>
      <c r="C2" s="35"/>
      <c r="D2" s="35"/>
      <c r="E2" s="35"/>
      <c r="F2" s="35"/>
      <c r="G2" s="35"/>
      <c r="H2" s="35"/>
      <c r="I2" s="35"/>
    </row>
    <row r="4" spans="1:9" ht="15.75" customHeight="1" x14ac:dyDescent="0.25">
      <c r="A4" s="37" t="s">
        <v>50</v>
      </c>
      <c r="B4" s="37" t="s">
        <v>51</v>
      </c>
      <c r="C4" s="39" t="s">
        <v>104</v>
      </c>
      <c r="D4" s="40"/>
      <c r="E4" s="39" t="s">
        <v>105</v>
      </c>
      <c r="F4" s="40"/>
      <c r="G4" s="37" t="s">
        <v>54</v>
      </c>
      <c r="H4" s="37" t="s">
        <v>106</v>
      </c>
      <c r="I4" s="37" t="s">
        <v>55</v>
      </c>
    </row>
    <row r="5" spans="1:9" ht="30" customHeight="1" x14ac:dyDescent="0.25">
      <c r="A5" s="38"/>
      <c r="B5" s="38"/>
      <c r="C5" s="4" t="s">
        <v>107</v>
      </c>
      <c r="D5" s="4" t="s">
        <v>108</v>
      </c>
      <c r="E5" s="4" t="s">
        <v>109</v>
      </c>
      <c r="F5" s="4" t="s">
        <v>110</v>
      </c>
      <c r="G5" s="38"/>
      <c r="H5" s="38"/>
      <c r="I5" s="38"/>
    </row>
    <row r="6" spans="1:9" ht="30" x14ac:dyDescent="0.25">
      <c r="A6" s="27" t="s">
        <v>111</v>
      </c>
      <c r="B6" s="6" t="s">
        <v>19</v>
      </c>
      <c r="C6" s="6">
        <v>100</v>
      </c>
      <c r="D6" s="6">
        <f>(C6/1000)*VLOOKUP(B6,Concrete!$A$5:$F$12,6,FALSE())</f>
        <v>2.5</v>
      </c>
      <c r="E6" s="6">
        <f t="shared" ref="E6:E12" si="0">ROUND(C6*0.0393700787,2)</f>
        <v>3.94</v>
      </c>
      <c r="F6" s="6">
        <f t="shared" ref="F6:F12" si="1">ROUND(D6*20.8854,1)</f>
        <v>52.2</v>
      </c>
      <c r="G6" s="6" t="s">
        <v>64</v>
      </c>
      <c r="H6" s="6" t="s">
        <v>112</v>
      </c>
      <c r="I6" s="28" t="s">
        <v>113</v>
      </c>
    </row>
    <row r="7" spans="1:9" x14ac:dyDescent="0.25">
      <c r="A7" s="7" t="s">
        <v>114</v>
      </c>
      <c r="B7" s="2" t="s">
        <v>19</v>
      </c>
      <c r="C7" s="2">
        <v>125</v>
      </c>
      <c r="D7" s="2">
        <f>(C7/1000)*VLOOKUP(B7,Concrete!$A$5:$F$12,6,FALSE())</f>
        <v>3.125</v>
      </c>
      <c r="E7" s="2">
        <f t="shared" si="0"/>
        <v>4.92</v>
      </c>
      <c r="F7" s="2">
        <f t="shared" si="1"/>
        <v>65.3</v>
      </c>
      <c r="G7" s="2" t="s">
        <v>115</v>
      </c>
      <c r="H7" s="2" t="s">
        <v>112</v>
      </c>
      <c r="I7" s="8" t="s">
        <v>116</v>
      </c>
    </row>
    <row r="8" spans="1:9" x14ac:dyDescent="0.25">
      <c r="A8" s="7" t="s">
        <v>349</v>
      </c>
      <c r="B8" s="2" t="s">
        <v>19</v>
      </c>
      <c r="C8" s="2">
        <v>152.46</v>
      </c>
      <c r="D8" s="2">
        <f>(C8/1000)*VLOOKUP(B8,Concrete!$A$5:$F$12,6,FALSE())</f>
        <v>3.8115000000000001</v>
      </c>
      <c r="E8" s="2">
        <f t="shared" si="0"/>
        <v>6</v>
      </c>
      <c r="F8" s="2">
        <f t="shared" si="1"/>
        <v>79.599999999999994</v>
      </c>
      <c r="G8" s="2" t="s">
        <v>117</v>
      </c>
      <c r="H8" s="2" t="s">
        <v>112</v>
      </c>
      <c r="I8" s="8" t="s">
        <v>118</v>
      </c>
    </row>
    <row r="9" spans="1:9" x14ac:dyDescent="0.25">
      <c r="A9" s="7" t="s">
        <v>119</v>
      </c>
      <c r="B9" s="2" t="s">
        <v>20</v>
      </c>
      <c r="C9" s="2">
        <v>175</v>
      </c>
      <c r="D9" s="2">
        <f>(C9/1000)*VLOOKUP(B9,Concrete!$A$5:$F$12,6,FALSE())</f>
        <v>4.375</v>
      </c>
      <c r="E9" s="2">
        <f t="shared" si="0"/>
        <v>6.89</v>
      </c>
      <c r="F9" s="2">
        <f t="shared" si="1"/>
        <v>91.4</v>
      </c>
      <c r="G9" s="2" t="s">
        <v>91</v>
      </c>
      <c r="H9" s="2" t="s">
        <v>112</v>
      </c>
      <c r="I9" s="8" t="s">
        <v>120</v>
      </c>
    </row>
    <row r="10" spans="1:9" ht="30" x14ac:dyDescent="0.25">
      <c r="A10" s="7" t="s">
        <v>121</v>
      </c>
      <c r="B10" s="2" t="s">
        <v>20</v>
      </c>
      <c r="C10" s="2">
        <v>200</v>
      </c>
      <c r="D10" s="2">
        <f>(C10/1000)*VLOOKUP(B10,Concrete!$A$5:$F$12,6,FALSE())</f>
        <v>5</v>
      </c>
      <c r="E10" s="2">
        <f t="shared" si="0"/>
        <v>7.87</v>
      </c>
      <c r="F10" s="2">
        <f t="shared" si="1"/>
        <v>104.4</v>
      </c>
      <c r="G10" s="2" t="s">
        <v>122</v>
      </c>
      <c r="H10" s="2" t="s">
        <v>112</v>
      </c>
      <c r="I10" s="8" t="s">
        <v>123</v>
      </c>
    </row>
    <row r="11" spans="1:9" x14ac:dyDescent="0.25">
      <c r="A11" s="7" t="s">
        <v>124</v>
      </c>
      <c r="B11" s="2" t="s">
        <v>20</v>
      </c>
      <c r="C11" s="2">
        <v>250</v>
      </c>
      <c r="D11" s="2">
        <f>(C11/1000)*VLOOKUP(B11,Concrete!$A$5:$F$12,6,FALSE())</f>
        <v>6.25</v>
      </c>
      <c r="E11" s="2">
        <f t="shared" si="0"/>
        <v>9.84</v>
      </c>
      <c r="F11" s="2">
        <f t="shared" si="1"/>
        <v>130.5</v>
      </c>
      <c r="G11" s="2" t="s">
        <v>125</v>
      </c>
      <c r="H11" s="2" t="s">
        <v>126</v>
      </c>
      <c r="I11" s="8" t="s">
        <v>127</v>
      </c>
    </row>
    <row r="12" spans="1:9" ht="30" x14ac:dyDescent="0.25">
      <c r="A12" s="7" t="s">
        <v>128</v>
      </c>
      <c r="B12" s="2" t="s">
        <v>21</v>
      </c>
      <c r="C12" s="2">
        <v>300</v>
      </c>
      <c r="D12" s="2">
        <f>(C12/1000)*VLOOKUP(B12,Concrete!$A$5:$F$12,6,FALSE())</f>
        <v>7.5</v>
      </c>
      <c r="E12" s="2">
        <f t="shared" si="0"/>
        <v>11.81</v>
      </c>
      <c r="F12" s="2">
        <f t="shared" si="1"/>
        <v>156.6</v>
      </c>
      <c r="G12" s="2" t="s">
        <v>129</v>
      </c>
      <c r="H12" s="2" t="s">
        <v>126</v>
      </c>
      <c r="I12" s="8" t="s">
        <v>130</v>
      </c>
    </row>
  </sheetData>
  <mergeCells count="9">
    <mergeCell ref="A1:I1"/>
    <mergeCell ref="A2:I2"/>
    <mergeCell ref="A4:A5"/>
    <mergeCell ref="B4:B5"/>
    <mergeCell ref="C4:D4"/>
    <mergeCell ref="E4:F4"/>
    <mergeCell ref="G4:G5"/>
    <mergeCell ref="H4:H5"/>
    <mergeCell ref="I4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8.7109375" defaultRowHeight="15" x14ac:dyDescent="0.25"/>
  <cols>
    <col min="1" max="2" width="12" style="1" customWidth="1"/>
    <col min="3" max="3" width="11" style="1" customWidth="1"/>
    <col min="4" max="4" width="14.28515625" style="1" bestFit="1" customWidth="1"/>
    <col min="5" max="5" width="10" style="1" customWidth="1"/>
    <col min="6" max="6" width="11" style="1" customWidth="1"/>
    <col min="7" max="7" width="16" style="1" customWidth="1"/>
    <col min="8" max="8" width="12" style="1" customWidth="1"/>
    <col min="9" max="9" width="28" style="1" customWidth="1"/>
    <col min="10" max="16384" width="8.7109375" style="1"/>
  </cols>
  <sheetData>
    <row r="1" spans="1:9" ht="25.5" customHeight="1" x14ac:dyDescent="0.25">
      <c r="A1" s="34" t="s">
        <v>131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103</v>
      </c>
      <c r="B2" s="35"/>
      <c r="C2" s="35"/>
      <c r="D2" s="35"/>
      <c r="E2" s="35"/>
      <c r="F2" s="35"/>
      <c r="G2" s="35"/>
      <c r="H2" s="35"/>
      <c r="I2" s="35"/>
    </row>
    <row r="4" spans="1:9" ht="15.75" customHeight="1" x14ac:dyDescent="0.25">
      <c r="A4" s="37" t="s">
        <v>50</v>
      </c>
      <c r="B4" s="37" t="s">
        <v>51</v>
      </c>
      <c r="C4" s="36" t="s">
        <v>104</v>
      </c>
      <c r="D4" s="36"/>
      <c r="E4" s="36" t="s">
        <v>105</v>
      </c>
      <c r="F4" s="36"/>
      <c r="G4" s="37" t="s">
        <v>54</v>
      </c>
      <c r="H4" s="37" t="s">
        <v>106</v>
      </c>
      <c r="I4" s="37" t="s">
        <v>55</v>
      </c>
    </row>
    <row r="5" spans="1:9" ht="30" customHeight="1" x14ac:dyDescent="0.25">
      <c r="A5" s="37"/>
      <c r="B5" s="37"/>
      <c r="C5" s="4" t="s">
        <v>107</v>
      </c>
      <c r="D5" s="4" t="s">
        <v>108</v>
      </c>
      <c r="E5" s="4" t="s">
        <v>109</v>
      </c>
      <c r="F5" s="4" t="s">
        <v>110</v>
      </c>
      <c r="G5" s="37"/>
      <c r="H5" s="37"/>
      <c r="I5" s="37"/>
    </row>
    <row r="6" spans="1:9" x14ac:dyDescent="0.25">
      <c r="A6" s="7" t="s">
        <v>132</v>
      </c>
      <c r="B6" s="2" t="s">
        <v>20</v>
      </c>
      <c r="C6" s="2">
        <v>150</v>
      </c>
      <c r="D6" s="2">
        <f>(C6/1000)*VLOOKUP(B6,Concrete!$A$5:$F$12,6,FALSE())</f>
        <v>3.75</v>
      </c>
      <c r="E6" s="2">
        <f t="shared" ref="E6:E11" si="0">ROUND(C6*0.0393700787,2)</f>
        <v>5.91</v>
      </c>
      <c r="F6" s="2">
        <f t="shared" ref="F6:F11" si="1">ROUND(D6*20.8854,1)</f>
        <v>78.3</v>
      </c>
      <c r="G6" s="2" t="s">
        <v>133</v>
      </c>
      <c r="H6" s="2" t="s">
        <v>112</v>
      </c>
      <c r="I6" s="8" t="s">
        <v>134</v>
      </c>
    </row>
    <row r="7" spans="1:9" x14ac:dyDescent="0.25">
      <c r="A7" s="7" t="s">
        <v>135</v>
      </c>
      <c r="B7" s="2" t="s">
        <v>20</v>
      </c>
      <c r="C7" s="2">
        <v>200</v>
      </c>
      <c r="D7" s="2">
        <f>(C7/1000)*VLOOKUP(B7,Concrete!$A$5:$F$12,6,FALSE())</f>
        <v>5</v>
      </c>
      <c r="E7" s="2">
        <f t="shared" si="0"/>
        <v>7.87</v>
      </c>
      <c r="F7" s="2">
        <f t="shared" si="1"/>
        <v>104.4</v>
      </c>
      <c r="G7" s="2" t="s">
        <v>91</v>
      </c>
      <c r="H7" s="2" t="s">
        <v>112</v>
      </c>
      <c r="I7" s="8" t="s">
        <v>136</v>
      </c>
    </row>
    <row r="8" spans="1:9" x14ac:dyDescent="0.25">
      <c r="A8" s="7" t="s">
        <v>137</v>
      </c>
      <c r="B8" s="2" t="s">
        <v>21</v>
      </c>
      <c r="C8" s="2">
        <v>230</v>
      </c>
      <c r="D8" s="2">
        <f>(C8/1000)*VLOOKUP(B8,Concrete!$A$5:$F$12,6,FALSE())</f>
        <v>5.75</v>
      </c>
      <c r="E8" s="2">
        <f t="shared" si="0"/>
        <v>9.06</v>
      </c>
      <c r="F8" s="2">
        <f t="shared" si="1"/>
        <v>120.1</v>
      </c>
      <c r="G8" s="2" t="s">
        <v>91</v>
      </c>
      <c r="H8" s="2" t="s">
        <v>112</v>
      </c>
      <c r="I8" s="8" t="s">
        <v>138</v>
      </c>
    </row>
    <row r="9" spans="1:9" ht="30" x14ac:dyDescent="0.25">
      <c r="A9" s="7" t="s">
        <v>139</v>
      </c>
      <c r="B9" s="2" t="s">
        <v>21</v>
      </c>
      <c r="C9" s="2">
        <v>300</v>
      </c>
      <c r="D9" s="2">
        <f>(C9/1000)*VLOOKUP(B9,Concrete!$A$5:$F$12,6,FALSE())</f>
        <v>7.5</v>
      </c>
      <c r="E9" s="2">
        <f t="shared" si="0"/>
        <v>11.81</v>
      </c>
      <c r="F9" s="2">
        <f t="shared" si="1"/>
        <v>156.6</v>
      </c>
      <c r="G9" s="2" t="s">
        <v>76</v>
      </c>
      <c r="H9" s="2" t="s">
        <v>126</v>
      </c>
      <c r="I9" s="8" t="s">
        <v>140</v>
      </c>
    </row>
    <row r="10" spans="1:9" ht="30" x14ac:dyDescent="0.25">
      <c r="A10" s="7" t="s">
        <v>141</v>
      </c>
      <c r="B10" s="2" t="s">
        <v>22</v>
      </c>
      <c r="C10" s="2">
        <v>400</v>
      </c>
      <c r="D10" s="2">
        <f>(C10/1000)*VLOOKUP(B10,Concrete!$A$5:$F$12,6,FALSE())</f>
        <v>10</v>
      </c>
      <c r="E10" s="2">
        <f t="shared" si="0"/>
        <v>15.75</v>
      </c>
      <c r="F10" s="2">
        <f t="shared" si="1"/>
        <v>208.9</v>
      </c>
      <c r="G10" s="2" t="s">
        <v>76</v>
      </c>
      <c r="H10" s="2" t="s">
        <v>126</v>
      </c>
      <c r="I10" s="8" t="s">
        <v>142</v>
      </c>
    </row>
    <row r="11" spans="1:9" ht="30" x14ac:dyDescent="0.25">
      <c r="A11" s="7" t="s">
        <v>143</v>
      </c>
      <c r="B11" s="2" t="s">
        <v>22</v>
      </c>
      <c r="C11" s="2">
        <v>500</v>
      </c>
      <c r="D11" s="2">
        <f>(C11/1000)*VLOOKUP(B11,Concrete!$A$5:$F$12,6,FALSE())</f>
        <v>12.5</v>
      </c>
      <c r="E11" s="2">
        <f t="shared" si="0"/>
        <v>19.690000000000001</v>
      </c>
      <c r="F11" s="2">
        <f t="shared" si="1"/>
        <v>261.10000000000002</v>
      </c>
      <c r="G11" s="2" t="s">
        <v>144</v>
      </c>
      <c r="H11" s="2" t="s">
        <v>126</v>
      </c>
      <c r="I11" s="8" t="s">
        <v>145</v>
      </c>
    </row>
    <row r="13" spans="1:9" x14ac:dyDescent="0.25">
      <c r="D13" s="1" t="s">
        <v>350</v>
      </c>
      <c r="E13" s="26">
        <v>1880</v>
      </c>
      <c r="F13" s="1" t="s">
        <v>351</v>
      </c>
    </row>
  </sheetData>
  <mergeCells count="9">
    <mergeCell ref="A1:I1"/>
    <mergeCell ref="A2:I2"/>
    <mergeCell ref="A4:A5"/>
    <mergeCell ref="B4:B5"/>
    <mergeCell ref="C4:D4"/>
    <mergeCell ref="E4:F4"/>
    <mergeCell ref="G4:G5"/>
    <mergeCell ref="H4:H5"/>
    <mergeCell ref="I4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showGridLines="0" zoomScaleNormal="100" workbookViewId="0">
      <pane ySplit="6" topLeftCell="A37" activePane="bottomLeft" state="frozen"/>
      <selection pane="bottomLeft" activeCell="B51" sqref="B51"/>
    </sheetView>
  </sheetViews>
  <sheetFormatPr defaultColWidth="8.7109375" defaultRowHeight="15" x14ac:dyDescent="0.25"/>
  <cols>
    <col min="1" max="1" width="35.85546875" style="1" customWidth="1"/>
    <col min="2" max="2" width="44.85546875" style="1" bestFit="1" customWidth="1"/>
    <col min="3" max="3" width="25.42578125" style="1" customWidth="1"/>
    <col min="4" max="4" width="28.5703125" style="1" customWidth="1"/>
    <col min="5" max="6" width="11" style="1" customWidth="1"/>
    <col min="7" max="7" width="12" style="1" customWidth="1"/>
    <col min="8" max="8" width="30" style="1" customWidth="1"/>
    <col min="9" max="16384" width="8.7109375" style="1"/>
  </cols>
  <sheetData>
    <row r="1" spans="1:8" ht="25.5" customHeight="1" x14ac:dyDescent="0.25">
      <c r="A1" s="34" t="s">
        <v>146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147</v>
      </c>
      <c r="B2" s="35"/>
      <c r="C2" s="35"/>
      <c r="D2" s="35"/>
      <c r="E2" s="35"/>
      <c r="F2" s="35"/>
      <c r="G2" s="35"/>
      <c r="H2" s="35"/>
    </row>
    <row r="3" spans="1:8" x14ac:dyDescent="0.25">
      <c r="A3" s="9" t="s">
        <v>148</v>
      </c>
    </row>
    <row r="5" spans="1:8" ht="15.75" customHeight="1" x14ac:dyDescent="0.25">
      <c r="A5" s="36" t="s">
        <v>149</v>
      </c>
      <c r="B5" s="36"/>
      <c r="C5" s="36" t="s">
        <v>150</v>
      </c>
      <c r="D5" s="36"/>
      <c r="E5" s="36" t="s">
        <v>151</v>
      </c>
      <c r="F5" s="36"/>
      <c r="G5" s="37" t="s">
        <v>152</v>
      </c>
      <c r="H5" s="37" t="s">
        <v>55</v>
      </c>
    </row>
    <row r="6" spans="1:8" ht="30" customHeight="1" x14ac:dyDescent="0.25">
      <c r="A6" s="4" t="s">
        <v>153</v>
      </c>
      <c r="B6" s="4" t="s">
        <v>154</v>
      </c>
      <c r="C6" s="4" t="s">
        <v>155</v>
      </c>
      <c r="D6" s="4" t="s">
        <v>156</v>
      </c>
      <c r="E6" s="4" t="s">
        <v>352</v>
      </c>
      <c r="F6" s="4" t="s">
        <v>157</v>
      </c>
      <c r="G6" s="37"/>
      <c r="H6" s="37"/>
    </row>
    <row r="7" spans="1:8" ht="30" x14ac:dyDescent="0.25">
      <c r="A7" s="2" t="s">
        <v>115</v>
      </c>
      <c r="B7" s="7" t="s">
        <v>158</v>
      </c>
      <c r="C7" s="2">
        <v>40</v>
      </c>
      <c r="D7" s="2">
        <v>0</v>
      </c>
      <c r="E7" s="2">
        <f>(C7/20.8854)*1000</f>
        <v>1915.2134984247368</v>
      </c>
      <c r="F7" s="2">
        <f t="shared" ref="F7:F36" si="0">ROUND(D7*0.0044482,2)</f>
        <v>0</v>
      </c>
      <c r="G7" s="2" t="s">
        <v>159</v>
      </c>
      <c r="H7" s="8" t="s">
        <v>160</v>
      </c>
    </row>
    <row r="8" spans="1:8" x14ac:dyDescent="0.25">
      <c r="A8" s="2" t="s">
        <v>115</v>
      </c>
      <c r="B8" s="7" t="s">
        <v>161</v>
      </c>
      <c r="C8" s="2">
        <v>40</v>
      </c>
      <c r="D8" s="2">
        <v>0</v>
      </c>
      <c r="E8" s="2">
        <f t="shared" ref="E8:E36" si="1">(C8/20.8854)*1000</f>
        <v>1915.2134984247368</v>
      </c>
      <c r="F8" s="2">
        <f t="shared" si="0"/>
        <v>0</v>
      </c>
      <c r="G8" s="2" t="s">
        <v>159</v>
      </c>
      <c r="H8" s="8"/>
    </row>
    <row r="9" spans="1:8" x14ac:dyDescent="0.25">
      <c r="A9" s="2" t="s">
        <v>115</v>
      </c>
      <c r="B9" s="7" t="s">
        <v>162</v>
      </c>
      <c r="C9" s="2">
        <v>100</v>
      </c>
      <c r="D9" s="2">
        <v>0</v>
      </c>
      <c r="E9" s="2">
        <f t="shared" si="1"/>
        <v>4788.0337460618421</v>
      </c>
      <c r="F9" s="2">
        <f t="shared" si="0"/>
        <v>0</v>
      </c>
      <c r="G9" s="2" t="s">
        <v>159</v>
      </c>
      <c r="H9" s="8"/>
    </row>
    <row r="10" spans="1:8" ht="30" x14ac:dyDescent="0.25">
      <c r="A10" s="2" t="s">
        <v>163</v>
      </c>
      <c r="B10" s="7" t="s">
        <v>164</v>
      </c>
      <c r="C10" s="2">
        <v>50</v>
      </c>
      <c r="D10" s="2">
        <v>2000</v>
      </c>
      <c r="E10" s="2">
        <f t="shared" si="1"/>
        <v>2394.016873030921</v>
      </c>
      <c r="F10" s="2">
        <f t="shared" si="0"/>
        <v>8.9</v>
      </c>
      <c r="G10" s="2" t="s">
        <v>159</v>
      </c>
      <c r="H10" s="8" t="s">
        <v>165</v>
      </c>
    </row>
    <row r="11" spans="1:8" x14ac:dyDescent="0.25">
      <c r="A11" s="2" t="s">
        <v>163</v>
      </c>
      <c r="B11" s="7" t="s">
        <v>166</v>
      </c>
      <c r="C11" s="2">
        <v>100</v>
      </c>
      <c r="D11" s="2">
        <v>2000</v>
      </c>
      <c r="E11" s="2">
        <f t="shared" si="1"/>
        <v>4788.0337460618421</v>
      </c>
      <c r="F11" s="2">
        <f t="shared" si="0"/>
        <v>8.9</v>
      </c>
      <c r="G11" s="2" t="s">
        <v>159</v>
      </c>
      <c r="H11" s="8"/>
    </row>
    <row r="12" spans="1:8" x14ac:dyDescent="0.25">
      <c r="A12" s="2" t="s">
        <v>163</v>
      </c>
      <c r="B12" s="7" t="s">
        <v>167</v>
      </c>
      <c r="C12" s="2">
        <v>80</v>
      </c>
      <c r="D12" s="2">
        <v>2000</v>
      </c>
      <c r="E12" s="2">
        <f t="shared" si="1"/>
        <v>3830.4269968494737</v>
      </c>
      <c r="F12" s="2">
        <f t="shared" si="0"/>
        <v>8.9</v>
      </c>
      <c r="G12" s="2" t="s">
        <v>159</v>
      </c>
      <c r="H12" s="8"/>
    </row>
    <row r="13" spans="1:8" x14ac:dyDescent="0.25">
      <c r="A13" s="2" t="s">
        <v>168</v>
      </c>
      <c r="B13" s="7" t="s">
        <v>169</v>
      </c>
      <c r="C13" s="2">
        <v>60</v>
      </c>
      <c r="D13" s="2">
        <v>0</v>
      </c>
      <c r="E13" s="2">
        <f t="shared" si="1"/>
        <v>2872.8202476371052</v>
      </c>
      <c r="F13" s="2">
        <f t="shared" si="0"/>
        <v>0</v>
      </c>
      <c r="G13" s="2" t="s">
        <v>170</v>
      </c>
      <c r="H13" s="8"/>
    </row>
    <row r="14" spans="1:8" x14ac:dyDescent="0.25">
      <c r="A14" s="2" t="s">
        <v>168</v>
      </c>
      <c r="B14" s="7" t="s">
        <v>171</v>
      </c>
      <c r="C14" s="2">
        <v>100</v>
      </c>
      <c r="D14" s="2">
        <v>0</v>
      </c>
      <c r="E14" s="2">
        <f t="shared" si="1"/>
        <v>4788.0337460618421</v>
      </c>
      <c r="F14" s="2">
        <f t="shared" si="0"/>
        <v>0</v>
      </c>
      <c r="G14" s="2" t="s">
        <v>170</v>
      </c>
      <c r="H14" s="8"/>
    </row>
    <row r="15" spans="1:8" x14ac:dyDescent="0.25">
      <c r="A15" s="2" t="s">
        <v>168</v>
      </c>
      <c r="B15" s="7" t="s">
        <v>172</v>
      </c>
      <c r="C15" s="2">
        <v>100</v>
      </c>
      <c r="D15" s="2">
        <v>0</v>
      </c>
      <c r="E15" s="2">
        <f t="shared" si="1"/>
        <v>4788.0337460618421</v>
      </c>
      <c r="F15" s="2">
        <f t="shared" si="0"/>
        <v>0</v>
      </c>
      <c r="G15" s="2" t="s">
        <v>170</v>
      </c>
      <c r="H15" s="8"/>
    </row>
    <row r="16" spans="1:8" x14ac:dyDescent="0.25">
      <c r="A16" s="2" t="s">
        <v>173</v>
      </c>
      <c r="B16" s="7" t="s">
        <v>174</v>
      </c>
      <c r="C16" s="2">
        <v>40</v>
      </c>
      <c r="D16" s="2">
        <v>1000</v>
      </c>
      <c r="E16" s="2">
        <f t="shared" si="1"/>
        <v>1915.2134984247368</v>
      </c>
      <c r="F16" s="2">
        <f t="shared" si="0"/>
        <v>4.45</v>
      </c>
      <c r="G16" s="2" t="s">
        <v>159</v>
      </c>
      <c r="H16" s="8"/>
    </row>
    <row r="17" spans="1:8" x14ac:dyDescent="0.25">
      <c r="A17" s="2" t="s">
        <v>173</v>
      </c>
      <c r="B17" s="7" t="s">
        <v>175</v>
      </c>
      <c r="C17" s="2">
        <v>80</v>
      </c>
      <c r="D17" s="2">
        <v>1000</v>
      </c>
      <c r="E17" s="2">
        <f t="shared" si="1"/>
        <v>3830.4269968494737</v>
      </c>
      <c r="F17" s="2">
        <f t="shared" si="0"/>
        <v>4.45</v>
      </c>
      <c r="G17" s="2" t="s">
        <v>159</v>
      </c>
      <c r="H17" s="8"/>
    </row>
    <row r="18" spans="1:8" x14ac:dyDescent="0.25">
      <c r="A18" s="2" t="s">
        <v>173</v>
      </c>
      <c r="B18" s="7" t="s">
        <v>176</v>
      </c>
      <c r="C18" s="2">
        <v>40</v>
      </c>
      <c r="D18" s="2">
        <v>1000</v>
      </c>
      <c r="E18" s="2">
        <f t="shared" si="1"/>
        <v>1915.2134984247368</v>
      </c>
      <c r="F18" s="2">
        <f t="shared" si="0"/>
        <v>4.45</v>
      </c>
      <c r="G18" s="2" t="s">
        <v>159</v>
      </c>
      <c r="H18" s="8"/>
    </row>
    <row r="19" spans="1:8" x14ac:dyDescent="0.25">
      <c r="A19" s="2" t="s">
        <v>173</v>
      </c>
      <c r="B19" s="7" t="s">
        <v>177</v>
      </c>
      <c r="C19" s="2">
        <v>60</v>
      </c>
      <c r="D19" s="2">
        <v>1000</v>
      </c>
      <c r="E19" s="2">
        <f t="shared" si="1"/>
        <v>2872.8202476371052</v>
      </c>
      <c r="F19" s="2">
        <f t="shared" si="0"/>
        <v>4.45</v>
      </c>
      <c r="G19" s="2" t="s">
        <v>159</v>
      </c>
      <c r="H19" s="8"/>
    </row>
    <row r="20" spans="1:8" x14ac:dyDescent="0.25">
      <c r="A20" s="2" t="s">
        <v>173</v>
      </c>
      <c r="B20" s="7" t="s">
        <v>178</v>
      </c>
      <c r="C20" s="2">
        <v>80</v>
      </c>
      <c r="D20" s="2">
        <v>1000</v>
      </c>
      <c r="E20" s="2">
        <f t="shared" si="1"/>
        <v>3830.4269968494737</v>
      </c>
      <c r="F20" s="2">
        <f t="shared" si="0"/>
        <v>4.45</v>
      </c>
      <c r="G20" s="2" t="s">
        <v>159</v>
      </c>
      <c r="H20" s="8"/>
    </row>
    <row r="21" spans="1:8" x14ac:dyDescent="0.25">
      <c r="A21" s="2" t="s">
        <v>179</v>
      </c>
      <c r="B21" s="7" t="s">
        <v>180</v>
      </c>
      <c r="C21" s="2">
        <v>60</v>
      </c>
      <c r="D21" s="2">
        <v>1000</v>
      </c>
      <c r="E21" s="2">
        <f t="shared" si="1"/>
        <v>2872.8202476371052</v>
      </c>
      <c r="F21" s="2">
        <f t="shared" si="0"/>
        <v>4.45</v>
      </c>
      <c r="G21" s="2" t="s">
        <v>159</v>
      </c>
      <c r="H21" s="8"/>
    </row>
    <row r="22" spans="1:8" ht="30" x14ac:dyDescent="0.25">
      <c r="A22" s="2" t="s">
        <v>179</v>
      </c>
      <c r="B22" s="7" t="s">
        <v>181</v>
      </c>
      <c r="C22" s="2">
        <v>150</v>
      </c>
      <c r="D22" s="2">
        <v>1000</v>
      </c>
      <c r="E22" s="2">
        <f t="shared" si="1"/>
        <v>7182.0506190927626</v>
      </c>
      <c r="F22" s="2">
        <f t="shared" si="0"/>
        <v>4.45</v>
      </c>
      <c r="G22" s="2" t="s">
        <v>170</v>
      </c>
      <c r="H22" s="8" t="s">
        <v>182</v>
      </c>
    </row>
    <row r="23" spans="1:8" x14ac:dyDescent="0.25">
      <c r="A23" s="2" t="s">
        <v>183</v>
      </c>
      <c r="B23" s="7" t="s">
        <v>184</v>
      </c>
      <c r="C23" s="2">
        <v>100</v>
      </c>
      <c r="D23" s="2">
        <v>1000</v>
      </c>
      <c r="E23" s="2">
        <f t="shared" si="1"/>
        <v>4788.0337460618421</v>
      </c>
      <c r="F23" s="2">
        <f t="shared" si="0"/>
        <v>4.45</v>
      </c>
      <c r="G23" s="2" t="s">
        <v>159</v>
      </c>
      <c r="H23" s="8"/>
    </row>
    <row r="24" spans="1:8" x14ac:dyDescent="0.25">
      <c r="A24" s="2" t="s">
        <v>183</v>
      </c>
      <c r="B24" s="7" t="s">
        <v>185</v>
      </c>
      <c r="C24" s="2">
        <v>75</v>
      </c>
      <c r="D24" s="2">
        <v>1000</v>
      </c>
      <c r="E24" s="2">
        <f t="shared" si="1"/>
        <v>3591.0253095463813</v>
      </c>
      <c r="F24" s="2">
        <f t="shared" si="0"/>
        <v>4.45</v>
      </c>
      <c r="G24" s="2" t="s">
        <v>159</v>
      </c>
      <c r="H24" s="8"/>
    </row>
    <row r="25" spans="1:8" x14ac:dyDescent="0.25">
      <c r="A25" s="2" t="s">
        <v>82</v>
      </c>
      <c r="B25" s="7" t="s">
        <v>186</v>
      </c>
      <c r="C25" s="2">
        <v>125</v>
      </c>
      <c r="D25" s="2">
        <v>2000</v>
      </c>
      <c r="E25" s="2">
        <f t="shared" si="1"/>
        <v>5985.0421825773028</v>
      </c>
      <c r="F25" s="2">
        <f t="shared" si="0"/>
        <v>8.9</v>
      </c>
      <c r="G25" s="2" t="s">
        <v>159</v>
      </c>
      <c r="H25" s="8"/>
    </row>
    <row r="26" spans="1:8" x14ac:dyDescent="0.25">
      <c r="A26" s="2" t="s">
        <v>82</v>
      </c>
      <c r="B26" s="7" t="s">
        <v>187</v>
      </c>
      <c r="C26" s="2">
        <v>250</v>
      </c>
      <c r="D26" s="2">
        <v>3000</v>
      </c>
      <c r="E26" s="2">
        <f t="shared" si="1"/>
        <v>11970.084365154606</v>
      </c>
      <c r="F26" s="2">
        <f t="shared" si="0"/>
        <v>13.34</v>
      </c>
      <c r="G26" s="2" t="s">
        <v>159</v>
      </c>
      <c r="H26" s="8"/>
    </row>
    <row r="27" spans="1:8" x14ac:dyDescent="0.25">
      <c r="A27" s="2" t="s">
        <v>188</v>
      </c>
      <c r="B27" s="7" t="s">
        <v>189</v>
      </c>
      <c r="C27" s="2">
        <v>125</v>
      </c>
      <c r="D27" s="2">
        <v>0</v>
      </c>
      <c r="E27" s="2">
        <f t="shared" si="1"/>
        <v>5985.0421825773028</v>
      </c>
      <c r="F27" s="2">
        <f t="shared" si="0"/>
        <v>0</v>
      </c>
      <c r="G27" s="2" t="s">
        <v>159</v>
      </c>
      <c r="H27" s="8"/>
    </row>
    <row r="28" spans="1:8" x14ac:dyDescent="0.25">
      <c r="A28" s="2" t="s">
        <v>188</v>
      </c>
      <c r="B28" s="7" t="s">
        <v>190</v>
      </c>
      <c r="C28" s="2">
        <v>250</v>
      </c>
      <c r="D28" s="2">
        <v>0</v>
      </c>
      <c r="E28" s="2">
        <f t="shared" si="1"/>
        <v>11970.084365154606</v>
      </c>
      <c r="F28" s="2">
        <f t="shared" si="0"/>
        <v>0</v>
      </c>
      <c r="G28" s="2" t="s">
        <v>159</v>
      </c>
      <c r="H28" s="8"/>
    </row>
    <row r="29" spans="1:8" ht="30" x14ac:dyDescent="0.25">
      <c r="A29" s="2" t="s">
        <v>191</v>
      </c>
      <c r="B29" s="7" t="s">
        <v>192</v>
      </c>
      <c r="C29" s="2">
        <v>40</v>
      </c>
      <c r="D29" s="2">
        <v>0</v>
      </c>
      <c r="E29" s="2">
        <f t="shared" si="1"/>
        <v>1915.2134984247368</v>
      </c>
      <c r="F29" s="2">
        <f t="shared" si="0"/>
        <v>0</v>
      </c>
      <c r="G29" s="2" t="s">
        <v>193</v>
      </c>
      <c r="H29" s="8" t="s">
        <v>194</v>
      </c>
    </row>
    <row r="30" spans="1:8" ht="30" x14ac:dyDescent="0.25">
      <c r="A30" s="2" t="s">
        <v>191</v>
      </c>
      <c r="B30" s="7" t="s">
        <v>195</v>
      </c>
      <c r="C30" s="2">
        <v>0</v>
      </c>
      <c r="D30" s="2">
        <v>0</v>
      </c>
      <c r="E30" s="2">
        <f t="shared" si="1"/>
        <v>0</v>
      </c>
      <c r="F30" s="2">
        <f t="shared" si="0"/>
        <v>0</v>
      </c>
      <c r="G30" s="2" t="s">
        <v>196</v>
      </c>
      <c r="H30" s="8" t="s">
        <v>197</v>
      </c>
    </row>
    <row r="31" spans="1:8" ht="30" x14ac:dyDescent="0.25">
      <c r="A31" s="2" t="s">
        <v>198</v>
      </c>
      <c r="B31" s="7" t="s">
        <v>199</v>
      </c>
      <c r="C31" s="2">
        <v>100</v>
      </c>
      <c r="D31" s="2">
        <v>300</v>
      </c>
      <c r="E31" s="2">
        <f t="shared" si="1"/>
        <v>4788.0337460618421</v>
      </c>
      <c r="F31" s="2">
        <f t="shared" si="0"/>
        <v>1.33</v>
      </c>
      <c r="G31" s="2" t="s">
        <v>170</v>
      </c>
      <c r="H31" s="8" t="s">
        <v>200</v>
      </c>
    </row>
    <row r="32" spans="1:8" x14ac:dyDescent="0.25">
      <c r="A32" s="2" t="s">
        <v>201</v>
      </c>
      <c r="B32" s="7" t="s">
        <v>202</v>
      </c>
      <c r="C32" s="2">
        <v>20</v>
      </c>
      <c r="D32" s="2">
        <v>300</v>
      </c>
      <c r="E32" s="2">
        <f t="shared" si="1"/>
        <v>957.60674921236841</v>
      </c>
      <c r="F32" s="2">
        <f t="shared" si="0"/>
        <v>1.33</v>
      </c>
      <c r="G32" s="2" t="s">
        <v>203</v>
      </c>
      <c r="H32" s="8"/>
    </row>
    <row r="33" spans="1:8" x14ac:dyDescent="0.25">
      <c r="A33" s="2" t="s">
        <v>201</v>
      </c>
      <c r="B33" s="7" t="s">
        <v>204</v>
      </c>
      <c r="C33" s="2">
        <v>100</v>
      </c>
      <c r="D33" s="2">
        <v>0</v>
      </c>
      <c r="E33" s="2">
        <f t="shared" si="1"/>
        <v>4788.0337460618421</v>
      </c>
      <c r="F33" s="2">
        <f t="shared" si="0"/>
        <v>0</v>
      </c>
      <c r="G33" s="2" t="s">
        <v>170</v>
      </c>
      <c r="H33" s="8"/>
    </row>
    <row r="34" spans="1:8" x14ac:dyDescent="0.25">
      <c r="A34" s="2" t="s">
        <v>201</v>
      </c>
      <c r="B34" s="7" t="s">
        <v>205</v>
      </c>
      <c r="C34" s="2">
        <v>5</v>
      </c>
      <c r="D34" s="2">
        <v>0</v>
      </c>
      <c r="E34" s="2">
        <f t="shared" si="1"/>
        <v>239.4016873030921</v>
      </c>
      <c r="F34" s="2">
        <f t="shared" si="0"/>
        <v>0</v>
      </c>
      <c r="G34" s="2" t="s">
        <v>170</v>
      </c>
      <c r="H34" s="8" t="s">
        <v>206</v>
      </c>
    </row>
    <row r="35" spans="1:8" ht="30" x14ac:dyDescent="0.25">
      <c r="A35" s="2" t="s">
        <v>207</v>
      </c>
      <c r="B35" s="7" t="s">
        <v>208</v>
      </c>
      <c r="C35" s="2">
        <v>60</v>
      </c>
      <c r="D35" s="2">
        <v>0</v>
      </c>
      <c r="E35" s="2">
        <f t="shared" si="1"/>
        <v>2872.8202476371052</v>
      </c>
      <c r="F35" s="2">
        <f t="shared" si="0"/>
        <v>0</v>
      </c>
      <c r="G35" s="2" t="s">
        <v>170</v>
      </c>
      <c r="H35" s="8" t="s">
        <v>209</v>
      </c>
    </row>
    <row r="36" spans="1:8" x14ac:dyDescent="0.25">
      <c r="A36" s="2" t="s">
        <v>210</v>
      </c>
      <c r="B36" s="7" t="s">
        <v>211</v>
      </c>
      <c r="C36" s="2">
        <v>250</v>
      </c>
      <c r="D36" s="2">
        <v>8000</v>
      </c>
      <c r="E36" s="2">
        <f t="shared" si="1"/>
        <v>11970.084365154606</v>
      </c>
      <c r="F36" s="2">
        <f t="shared" si="0"/>
        <v>35.590000000000003</v>
      </c>
      <c r="G36" s="2" t="s">
        <v>159</v>
      </c>
      <c r="H36" s="8"/>
    </row>
    <row r="38" spans="1:8" ht="15" customHeight="1" x14ac:dyDescent="0.25">
      <c r="A38" s="33" t="s">
        <v>212</v>
      </c>
      <c r="B38" s="33"/>
      <c r="C38" s="33"/>
      <c r="D38" s="33"/>
      <c r="E38" s="33"/>
      <c r="F38" s="33"/>
      <c r="G38" s="33"/>
      <c r="H38" s="33"/>
    </row>
    <row r="39" spans="1:8" x14ac:dyDescent="0.25">
      <c r="A39" s="33"/>
      <c r="B39" s="33"/>
      <c r="C39" s="33"/>
      <c r="D39" s="33"/>
      <c r="E39" s="33"/>
      <c r="F39" s="33"/>
      <c r="G39" s="33"/>
      <c r="H39" s="33"/>
    </row>
    <row r="40" spans="1:8" x14ac:dyDescent="0.25">
      <c r="A40" s="33"/>
      <c r="B40" s="33"/>
      <c r="C40" s="33"/>
      <c r="D40" s="33"/>
      <c r="E40" s="33"/>
      <c r="F40" s="33"/>
      <c r="G40" s="33"/>
      <c r="H40" s="33"/>
    </row>
    <row r="41" spans="1:8" x14ac:dyDescent="0.25">
      <c r="A41" s="9" t="s">
        <v>213</v>
      </c>
    </row>
    <row r="42" spans="1:8" ht="13.5" customHeight="1" x14ac:dyDescent="0.25">
      <c r="A42" s="3" t="s">
        <v>214</v>
      </c>
      <c r="B42" s="3" t="s">
        <v>215</v>
      </c>
      <c r="C42" s="3" t="s">
        <v>216</v>
      </c>
    </row>
    <row r="43" spans="1:8" x14ac:dyDescent="0.25">
      <c r="B43" s="4" t="s">
        <v>217</v>
      </c>
      <c r="C43" s="4" t="s">
        <v>218</v>
      </c>
    </row>
    <row r="44" spans="1:8" x14ac:dyDescent="0.25">
      <c r="A44" s="7" t="s">
        <v>219</v>
      </c>
      <c r="B44" s="2">
        <v>1</v>
      </c>
      <c r="C44" s="2">
        <f t="shared" ref="C44:C51" si="2">ROUND(B44*20.8854,1)</f>
        <v>20.9</v>
      </c>
    </row>
    <row r="45" spans="1:8" x14ac:dyDescent="0.25">
      <c r="A45" s="7" t="s">
        <v>220</v>
      </c>
      <c r="B45" s="2">
        <v>0.5</v>
      </c>
      <c r="C45" s="2">
        <f t="shared" si="2"/>
        <v>10.4</v>
      </c>
    </row>
    <row r="46" spans="1:8" x14ac:dyDescent="0.25">
      <c r="A46" s="7" t="s">
        <v>221</v>
      </c>
      <c r="B46" s="2">
        <v>0.75</v>
      </c>
      <c r="C46" s="2">
        <f t="shared" si="2"/>
        <v>15.7</v>
      </c>
    </row>
    <row r="47" spans="1:8" x14ac:dyDescent="0.25">
      <c r="A47" s="7" t="s">
        <v>222</v>
      </c>
      <c r="B47" s="2">
        <v>2.5</v>
      </c>
      <c r="C47" s="2">
        <f t="shared" si="2"/>
        <v>52.2</v>
      </c>
    </row>
    <row r="48" spans="1:8" x14ac:dyDescent="0.25">
      <c r="A48" s="7" t="s">
        <v>223</v>
      </c>
      <c r="B48" s="2">
        <v>0.1</v>
      </c>
      <c r="C48" s="2">
        <f t="shared" si="2"/>
        <v>2.1</v>
      </c>
    </row>
    <row r="49" spans="1:8" x14ac:dyDescent="0.25">
      <c r="A49" s="7" t="s">
        <v>224</v>
      </c>
      <c r="B49" s="2">
        <v>0.3</v>
      </c>
      <c r="C49" s="2">
        <f t="shared" si="2"/>
        <v>6.3</v>
      </c>
    </row>
    <row r="50" spans="1:8" x14ac:dyDescent="0.25">
      <c r="A50" s="29" t="s">
        <v>225</v>
      </c>
      <c r="B50" s="30">
        <v>0.5</v>
      </c>
      <c r="C50" s="2">
        <f t="shared" si="2"/>
        <v>10.4</v>
      </c>
    </row>
    <row r="51" spans="1:8" x14ac:dyDescent="0.25">
      <c r="A51" s="31" t="s">
        <v>353</v>
      </c>
      <c r="B51" s="32">
        <f>B44+B45+B49</f>
        <v>1.8</v>
      </c>
      <c r="C51" s="2">
        <f t="shared" si="2"/>
        <v>37.6</v>
      </c>
    </row>
    <row r="53" spans="1:8" ht="15" customHeight="1" x14ac:dyDescent="0.25">
      <c r="A53" s="33" t="s">
        <v>226</v>
      </c>
      <c r="B53" s="33"/>
      <c r="C53" s="33"/>
      <c r="D53" s="33"/>
      <c r="E53" s="33"/>
      <c r="F53" s="33"/>
      <c r="G53" s="33"/>
      <c r="H53" s="33"/>
    </row>
  </sheetData>
  <mergeCells count="9">
    <mergeCell ref="A38:H40"/>
    <mergeCell ref="A53:H53"/>
    <mergeCell ref="A1:H1"/>
    <mergeCell ref="A2:H2"/>
    <mergeCell ref="A5:B5"/>
    <mergeCell ref="C5:D5"/>
    <mergeCell ref="E5:F5"/>
    <mergeCell ref="G5:G6"/>
    <mergeCell ref="H5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8"/>
  <sheetViews>
    <sheetView showGridLines="0" zoomScaleNormal="100" workbookViewId="0">
      <selection activeCell="D39" sqref="D39"/>
    </sheetView>
  </sheetViews>
  <sheetFormatPr defaultColWidth="8.7109375" defaultRowHeight="15" x14ac:dyDescent="0.25"/>
  <cols>
    <col min="1" max="1" width="59.7109375" style="1" customWidth="1"/>
    <col min="2" max="9" width="12" style="1" customWidth="1"/>
    <col min="10" max="16384" width="8.7109375" style="1"/>
  </cols>
  <sheetData>
    <row r="1" spans="1:9" ht="25.5" customHeight="1" x14ac:dyDescent="0.25">
      <c r="A1" s="34" t="s">
        <v>227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228</v>
      </c>
      <c r="B2" s="35"/>
      <c r="C2" s="35"/>
      <c r="D2" s="35"/>
      <c r="E2" s="35"/>
      <c r="F2" s="35"/>
      <c r="G2" s="35"/>
      <c r="H2" s="35"/>
      <c r="I2" s="35"/>
    </row>
    <row r="3" spans="1:9" ht="15.75" x14ac:dyDescent="0.25">
      <c r="A3" s="10" t="s">
        <v>229</v>
      </c>
    </row>
    <row r="4" spans="1:9" x14ac:dyDescent="0.25">
      <c r="A4" s="11" t="s">
        <v>230</v>
      </c>
    </row>
    <row r="5" spans="1:9" x14ac:dyDescent="0.25">
      <c r="A5" s="41" t="s">
        <v>231</v>
      </c>
      <c r="B5" s="41"/>
      <c r="C5" s="41"/>
      <c r="D5" s="41"/>
      <c r="E5" s="16">
        <v>1.5</v>
      </c>
    </row>
    <row r="6" spans="1:9" x14ac:dyDescent="0.25">
      <c r="A6" s="41" t="s">
        <v>232</v>
      </c>
      <c r="B6" s="41"/>
      <c r="C6" s="41"/>
      <c r="D6" s="41"/>
      <c r="E6" s="16">
        <v>0.6</v>
      </c>
    </row>
    <row r="7" spans="1:9" x14ac:dyDescent="0.25">
      <c r="A7" s="41" t="s">
        <v>233</v>
      </c>
      <c r="B7" s="41"/>
      <c r="C7" s="41"/>
      <c r="D7" s="41"/>
      <c r="E7" s="16" t="s">
        <v>234</v>
      </c>
    </row>
    <row r="8" spans="1:9" x14ac:dyDescent="0.25">
      <c r="A8" s="41" t="s">
        <v>235</v>
      </c>
      <c r="B8" s="41"/>
      <c r="C8" s="41"/>
      <c r="D8" s="41"/>
      <c r="E8" s="16" t="s">
        <v>236</v>
      </c>
    </row>
    <row r="10" spans="1:9" x14ac:dyDescent="0.25">
      <c r="A10" s="13" t="s">
        <v>237</v>
      </c>
    </row>
    <row r="11" spans="1:9" x14ac:dyDescent="0.25">
      <c r="A11" s="14" t="s">
        <v>238</v>
      </c>
      <c r="B11" s="14" t="s">
        <v>239</v>
      </c>
      <c r="C11" s="14" t="s">
        <v>240</v>
      </c>
      <c r="D11" s="14" t="s">
        <v>241</v>
      </c>
      <c r="E11" s="14" t="s">
        <v>242</v>
      </c>
      <c r="F11" s="14" t="s">
        <v>243</v>
      </c>
    </row>
    <row r="12" spans="1:9" x14ac:dyDescent="0.25">
      <c r="A12" s="2" t="s">
        <v>244</v>
      </c>
      <c r="B12" s="2">
        <v>0.8</v>
      </c>
      <c r="C12" s="2">
        <v>0.8</v>
      </c>
      <c r="D12" s="2">
        <v>0.8</v>
      </c>
      <c r="E12" s="2">
        <v>0.8</v>
      </c>
      <c r="F12" s="2">
        <v>0.8</v>
      </c>
    </row>
    <row r="13" spans="1:9" x14ac:dyDescent="0.25">
      <c r="A13" s="2" t="s">
        <v>245</v>
      </c>
      <c r="B13" s="2">
        <v>0.9</v>
      </c>
      <c r="C13" s="2">
        <v>0.9</v>
      </c>
      <c r="D13" s="2">
        <v>0.9</v>
      </c>
      <c r="E13" s="2">
        <v>0.9</v>
      </c>
      <c r="F13" s="2">
        <v>0.9</v>
      </c>
    </row>
    <row r="14" spans="1:9" x14ac:dyDescent="0.25">
      <c r="A14" s="2" t="s">
        <v>246</v>
      </c>
      <c r="B14" s="2">
        <v>1.3</v>
      </c>
      <c r="C14" s="2">
        <v>1.3</v>
      </c>
      <c r="D14" s="2">
        <v>1.2</v>
      </c>
      <c r="E14" s="2">
        <v>1.2</v>
      </c>
      <c r="F14" s="2">
        <v>1.2</v>
      </c>
    </row>
    <row r="15" spans="1:9" x14ac:dyDescent="0.25">
      <c r="A15" s="2" t="s">
        <v>234</v>
      </c>
      <c r="B15" s="2">
        <v>1.6</v>
      </c>
      <c r="C15" s="2">
        <v>1.4</v>
      </c>
      <c r="D15" s="2">
        <v>1.2</v>
      </c>
      <c r="E15" s="2">
        <v>1.1000000000000001</v>
      </c>
      <c r="F15" s="2">
        <v>1</v>
      </c>
    </row>
    <row r="16" spans="1:9" x14ac:dyDescent="0.25">
      <c r="A16" s="2" t="s">
        <v>247</v>
      </c>
      <c r="B16" s="2">
        <v>2.4</v>
      </c>
      <c r="C16" s="2">
        <v>1.7</v>
      </c>
      <c r="D16" s="2">
        <v>1.3</v>
      </c>
      <c r="E16" s="2">
        <v>1.1000000000000001</v>
      </c>
      <c r="F16" s="2">
        <v>0.9</v>
      </c>
    </row>
    <row r="17" spans="1:6" ht="15" customHeight="1" x14ac:dyDescent="0.25">
      <c r="A17" s="15" t="s">
        <v>248</v>
      </c>
      <c r="B17" s="42" t="s">
        <v>249</v>
      </c>
      <c r="C17" s="42"/>
      <c r="D17" s="42"/>
      <c r="E17" s="42"/>
      <c r="F17" s="42"/>
    </row>
    <row r="19" spans="1:6" x14ac:dyDescent="0.25">
      <c r="A19" s="13" t="s">
        <v>250</v>
      </c>
    </row>
    <row r="20" spans="1:6" x14ac:dyDescent="0.25">
      <c r="A20" s="14" t="s">
        <v>238</v>
      </c>
      <c r="B20" s="14" t="s">
        <v>251</v>
      </c>
      <c r="C20" s="14" t="s">
        <v>252</v>
      </c>
      <c r="D20" s="14" t="s">
        <v>253</v>
      </c>
      <c r="E20" s="14" t="s">
        <v>254</v>
      </c>
      <c r="F20" s="14" t="s">
        <v>255</v>
      </c>
    </row>
    <row r="21" spans="1:6" x14ac:dyDescent="0.25">
      <c r="A21" s="2" t="s">
        <v>244</v>
      </c>
      <c r="B21" s="2">
        <v>0.8</v>
      </c>
      <c r="C21" s="2">
        <v>0.8</v>
      </c>
      <c r="D21" s="2">
        <v>0.8</v>
      </c>
      <c r="E21" s="2">
        <v>0.8</v>
      </c>
      <c r="F21" s="2">
        <v>0.8</v>
      </c>
    </row>
    <row r="22" spans="1:6" x14ac:dyDescent="0.25">
      <c r="A22" s="2" t="s">
        <v>245</v>
      </c>
      <c r="B22" s="2">
        <v>0.8</v>
      </c>
      <c r="C22" s="2">
        <v>0.8</v>
      </c>
      <c r="D22" s="2">
        <v>0.8</v>
      </c>
      <c r="E22" s="2">
        <v>0.8</v>
      </c>
      <c r="F22" s="2">
        <v>0.8</v>
      </c>
    </row>
    <row r="23" spans="1:6" x14ac:dyDescent="0.25">
      <c r="A23" s="2" t="s">
        <v>246</v>
      </c>
      <c r="B23" s="2">
        <v>1.5</v>
      </c>
      <c r="C23" s="2">
        <v>1.5</v>
      </c>
      <c r="D23" s="2">
        <v>1.5</v>
      </c>
      <c r="E23" s="2">
        <v>1.5</v>
      </c>
      <c r="F23" s="2">
        <v>1.4</v>
      </c>
    </row>
    <row r="24" spans="1:6" x14ac:dyDescent="0.25">
      <c r="A24" s="2" t="s">
        <v>234</v>
      </c>
      <c r="B24" s="2">
        <v>2.4</v>
      </c>
      <c r="C24" s="2">
        <v>2.2000000000000002</v>
      </c>
      <c r="D24" s="2">
        <v>2</v>
      </c>
      <c r="E24" s="2">
        <v>1.9</v>
      </c>
      <c r="F24" s="2">
        <v>1.8</v>
      </c>
    </row>
    <row r="25" spans="1:6" x14ac:dyDescent="0.25">
      <c r="A25" s="2" t="s">
        <v>247</v>
      </c>
      <c r="B25" s="2">
        <v>4.2</v>
      </c>
      <c r="C25" s="2">
        <v>3.3</v>
      </c>
      <c r="D25" s="2">
        <v>2.8</v>
      </c>
      <c r="E25" s="2">
        <v>2.4</v>
      </c>
      <c r="F25" s="2">
        <v>2.2000000000000002</v>
      </c>
    </row>
    <row r="26" spans="1:6" ht="15" customHeight="1" x14ac:dyDescent="0.25">
      <c r="A26" s="15" t="s">
        <v>248</v>
      </c>
      <c r="B26" s="42" t="s">
        <v>249</v>
      </c>
      <c r="C26" s="42"/>
      <c r="D26" s="42"/>
      <c r="E26" s="42"/>
      <c r="F26" s="42"/>
    </row>
    <row r="28" spans="1:6" x14ac:dyDescent="0.25">
      <c r="A28" s="11" t="s">
        <v>256</v>
      </c>
    </row>
    <row r="29" spans="1:6" x14ac:dyDescent="0.25">
      <c r="A29" s="41" t="s">
        <v>257</v>
      </c>
      <c r="B29" s="41"/>
      <c r="C29" s="41"/>
      <c r="D29" s="41"/>
      <c r="E29" s="12">
        <f>INDEX(B12:F17,MATCH(E7,A12:A17,0),MATCH(E5,{0,0.26,0.51,0.76,1.01},1))</f>
        <v>1</v>
      </c>
    </row>
    <row r="30" spans="1:6" x14ac:dyDescent="0.25">
      <c r="A30" s="41" t="s">
        <v>258</v>
      </c>
      <c r="B30" s="41"/>
      <c r="C30" s="41"/>
      <c r="D30" s="41"/>
      <c r="E30" s="12">
        <f>INDEX(B21:F26,MATCH(E7,A21:A26,0),MATCH(E6,{0,0.11,0.21,0.31,0.41},1))</f>
        <v>1.8</v>
      </c>
    </row>
    <row r="31" spans="1:6" x14ac:dyDescent="0.25">
      <c r="A31" s="43" t="s">
        <v>259</v>
      </c>
      <c r="B31" s="43"/>
      <c r="C31" s="43"/>
      <c r="D31" s="43"/>
      <c r="E31" s="12">
        <f>ROUND(E29*E5,3)</f>
        <v>1.5</v>
      </c>
    </row>
    <row r="32" spans="1:6" x14ac:dyDescent="0.25">
      <c r="A32" s="43" t="s">
        <v>260</v>
      </c>
      <c r="B32" s="43"/>
      <c r="C32" s="43"/>
      <c r="D32" s="43"/>
      <c r="E32" s="12">
        <f>ROUND(E30*E6,3)</f>
        <v>1.08</v>
      </c>
    </row>
    <row r="33" spans="1:5" x14ac:dyDescent="0.25">
      <c r="A33" s="43" t="s">
        <v>261</v>
      </c>
      <c r="B33" s="43"/>
      <c r="C33" s="43"/>
      <c r="D33" s="43"/>
      <c r="E33" s="12">
        <f>ROUND(2/3*E31,3)</f>
        <v>1</v>
      </c>
    </row>
    <row r="34" spans="1:5" x14ac:dyDescent="0.25">
      <c r="A34" s="43" t="s">
        <v>262</v>
      </c>
      <c r="B34" s="43"/>
      <c r="C34" s="43"/>
      <c r="D34" s="43"/>
      <c r="E34" s="12">
        <f>ROUND(2/3*E32,3)</f>
        <v>0.72</v>
      </c>
    </row>
    <row r="35" spans="1:5" x14ac:dyDescent="0.25">
      <c r="A35" s="43" t="s">
        <v>263</v>
      </c>
      <c r="B35" s="43"/>
      <c r="C35" s="43"/>
      <c r="D35" s="43"/>
      <c r="E35" s="12" t="str">
        <f>IF(OR(E6&gt;=0.75,AND(E8="IV",E6&gt;=0.75)),IF(E8="IV","F","E"),IF(OR(E33&gt;=0.5,E34&gt;=0.2),"D",IF(OR(E33&gt;=0.33,E34&gt;=0.133),"C",IF(OR(E33&gt;=0.167,E34&gt;=0.067),"B","A"))))</f>
        <v>D</v>
      </c>
    </row>
    <row r="37" spans="1:5" x14ac:dyDescent="0.25">
      <c r="A37" s="11" t="s">
        <v>264</v>
      </c>
    </row>
    <row r="38" spans="1:5" x14ac:dyDescent="0.25">
      <c r="A38" s="4" t="s">
        <v>265</v>
      </c>
      <c r="B38" s="4" t="s">
        <v>266</v>
      </c>
      <c r="C38" s="4" t="s">
        <v>267</v>
      </c>
      <c r="D38" s="4" t="s">
        <v>268</v>
      </c>
    </row>
    <row r="39" spans="1:5" x14ac:dyDescent="0.25">
      <c r="A39" s="7" t="s">
        <v>269</v>
      </c>
      <c r="B39" s="2">
        <v>5</v>
      </c>
      <c r="C39" s="2">
        <v>2.5</v>
      </c>
      <c r="D39" s="2">
        <v>5</v>
      </c>
    </row>
    <row r="40" spans="1:5" x14ac:dyDescent="0.25">
      <c r="A40" s="7" t="s">
        <v>270</v>
      </c>
      <c r="B40" s="2">
        <v>4</v>
      </c>
      <c r="C40" s="2">
        <v>2.5</v>
      </c>
      <c r="D40" s="2">
        <v>4</v>
      </c>
    </row>
    <row r="41" spans="1:5" x14ac:dyDescent="0.25">
      <c r="A41" s="7" t="s">
        <v>271</v>
      </c>
      <c r="B41" s="2">
        <v>6</v>
      </c>
      <c r="C41" s="2">
        <v>2.5</v>
      </c>
      <c r="D41" s="2">
        <v>5</v>
      </c>
    </row>
    <row r="42" spans="1:5" x14ac:dyDescent="0.25">
      <c r="A42" s="7" t="s">
        <v>272</v>
      </c>
      <c r="B42" s="2">
        <v>5</v>
      </c>
      <c r="C42" s="2">
        <v>2.5</v>
      </c>
      <c r="D42" s="2">
        <v>4.5</v>
      </c>
    </row>
    <row r="43" spans="1:5" x14ac:dyDescent="0.25">
      <c r="A43" s="7" t="s">
        <v>273</v>
      </c>
      <c r="B43" s="2">
        <v>8</v>
      </c>
      <c r="C43" s="2">
        <v>3</v>
      </c>
      <c r="D43" s="2">
        <v>5.5</v>
      </c>
    </row>
    <row r="44" spans="1:5" x14ac:dyDescent="0.25">
      <c r="A44" s="7" t="s">
        <v>274</v>
      </c>
      <c r="B44" s="2">
        <v>5</v>
      </c>
      <c r="C44" s="2">
        <v>3</v>
      </c>
      <c r="D44" s="2">
        <v>4.5</v>
      </c>
    </row>
    <row r="45" spans="1:5" x14ac:dyDescent="0.25">
      <c r="A45" s="7" t="s">
        <v>275</v>
      </c>
      <c r="B45" s="2">
        <v>3</v>
      </c>
      <c r="C45" s="2">
        <v>3</v>
      </c>
      <c r="D45" s="2">
        <v>2.5</v>
      </c>
    </row>
    <row r="46" spans="1:5" x14ac:dyDescent="0.25">
      <c r="A46" s="7" t="s">
        <v>276</v>
      </c>
      <c r="B46" s="2">
        <v>7</v>
      </c>
      <c r="C46" s="2">
        <v>2.5</v>
      </c>
      <c r="D46" s="2">
        <v>5.5</v>
      </c>
    </row>
    <row r="47" spans="1:5" x14ac:dyDescent="0.25">
      <c r="A47" s="7" t="s">
        <v>277</v>
      </c>
      <c r="B47" s="2">
        <v>6</v>
      </c>
      <c r="C47" s="2">
        <v>2.5</v>
      </c>
      <c r="D47" s="2">
        <v>5</v>
      </c>
    </row>
    <row r="48" spans="1:5" x14ac:dyDescent="0.25">
      <c r="A48" s="7" t="s">
        <v>278</v>
      </c>
      <c r="B48" s="2">
        <v>6.5</v>
      </c>
      <c r="C48" s="2">
        <v>2.5</v>
      </c>
      <c r="D48" s="2">
        <v>5</v>
      </c>
    </row>
    <row r="50" spans="1:9" ht="15" customHeight="1" x14ac:dyDescent="0.25">
      <c r="A50" s="33" t="s">
        <v>279</v>
      </c>
      <c r="B50" s="33"/>
      <c r="C50" s="33"/>
      <c r="D50" s="33"/>
      <c r="E50" s="33"/>
      <c r="F50" s="33"/>
      <c r="G50" s="33"/>
      <c r="H50" s="33"/>
      <c r="I50" s="33"/>
    </row>
    <row r="51" spans="1:9" x14ac:dyDescent="0.25">
      <c r="A51" s="33"/>
      <c r="B51" s="33"/>
      <c r="C51" s="33"/>
      <c r="D51" s="33"/>
      <c r="E51" s="33"/>
      <c r="F51" s="33"/>
      <c r="G51" s="33"/>
      <c r="H51" s="33"/>
      <c r="I51" s="33"/>
    </row>
    <row r="52" spans="1:9" ht="45.7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</row>
    <row r="54" spans="1:9" ht="15.75" x14ac:dyDescent="0.25">
      <c r="A54" s="10" t="s">
        <v>280</v>
      </c>
    </row>
    <row r="55" spans="1:9" x14ac:dyDescent="0.25">
      <c r="A55" s="11" t="s">
        <v>281</v>
      </c>
    </row>
    <row r="56" spans="1:9" x14ac:dyDescent="0.25">
      <c r="A56" s="4" t="s">
        <v>282</v>
      </c>
      <c r="B56" s="4">
        <v>1</v>
      </c>
      <c r="C56" s="4" t="s">
        <v>283</v>
      </c>
      <c r="D56" s="4" t="s">
        <v>284</v>
      </c>
      <c r="E56" s="4">
        <v>3</v>
      </c>
      <c r="F56" s="4">
        <v>4</v>
      </c>
    </row>
    <row r="57" spans="1:9" x14ac:dyDescent="0.25">
      <c r="A57" s="2" t="s">
        <v>285</v>
      </c>
      <c r="B57" s="2">
        <v>7.4999999999999997E-2</v>
      </c>
      <c r="C57" s="2">
        <v>0.15</v>
      </c>
      <c r="D57" s="2">
        <v>0.2</v>
      </c>
      <c r="E57" s="2">
        <v>0.3</v>
      </c>
      <c r="F57" s="2">
        <v>0.4</v>
      </c>
    </row>
    <row r="59" spans="1:9" x14ac:dyDescent="0.25">
      <c r="A59" s="11" t="s">
        <v>286</v>
      </c>
    </row>
    <row r="60" spans="1:9" x14ac:dyDescent="0.25">
      <c r="A60" s="4" t="s">
        <v>287</v>
      </c>
      <c r="B60" s="4" t="s">
        <v>288</v>
      </c>
      <c r="C60" s="4" t="s">
        <v>289</v>
      </c>
      <c r="D60" s="4" t="s">
        <v>290</v>
      </c>
      <c r="E60" s="4" t="s">
        <v>291</v>
      </c>
      <c r="F60" s="4" t="s">
        <v>292</v>
      </c>
    </row>
    <row r="61" spans="1:9" x14ac:dyDescent="0.25">
      <c r="A61" s="2" t="s">
        <v>293</v>
      </c>
      <c r="B61" s="2">
        <v>0.06</v>
      </c>
      <c r="C61" s="2">
        <v>0.12</v>
      </c>
      <c r="D61" s="2">
        <v>0.16</v>
      </c>
      <c r="E61" s="2">
        <v>0.24</v>
      </c>
      <c r="F61" s="2">
        <v>0.32</v>
      </c>
    </row>
    <row r="62" spans="1:9" x14ac:dyDescent="0.25">
      <c r="A62" s="2" t="s">
        <v>294</v>
      </c>
      <c r="B62" s="2">
        <v>0.08</v>
      </c>
      <c r="C62" s="2">
        <v>0.15</v>
      </c>
      <c r="D62" s="2">
        <v>0.2</v>
      </c>
      <c r="E62" s="2">
        <v>0.3</v>
      </c>
      <c r="F62" s="2">
        <v>0.4</v>
      </c>
    </row>
    <row r="63" spans="1:9" x14ac:dyDescent="0.25">
      <c r="A63" s="2" t="s">
        <v>295</v>
      </c>
      <c r="B63" s="2">
        <v>0.09</v>
      </c>
      <c r="C63" s="2">
        <v>0.18</v>
      </c>
      <c r="D63" s="2">
        <v>0.24</v>
      </c>
      <c r="E63" s="2">
        <v>0.33</v>
      </c>
      <c r="F63" s="2">
        <v>0.4</v>
      </c>
    </row>
    <row r="64" spans="1:9" x14ac:dyDescent="0.25">
      <c r="A64" s="2" t="s">
        <v>296</v>
      </c>
      <c r="B64" s="2">
        <v>0.12</v>
      </c>
      <c r="C64" s="2">
        <v>0.22</v>
      </c>
      <c r="D64" s="2">
        <v>0.28000000000000003</v>
      </c>
      <c r="E64" s="2">
        <v>0.36</v>
      </c>
      <c r="F64" s="2">
        <v>0.44</v>
      </c>
    </row>
    <row r="65" spans="1:6" x14ac:dyDescent="0.25">
      <c r="A65" s="2" t="s">
        <v>297</v>
      </c>
      <c r="B65" s="2">
        <v>0.19</v>
      </c>
      <c r="C65" s="2">
        <v>0.3</v>
      </c>
      <c r="D65" s="2">
        <v>0.34</v>
      </c>
      <c r="E65" s="2">
        <v>0.36</v>
      </c>
      <c r="F65" s="2">
        <v>0.36</v>
      </c>
    </row>
    <row r="66" spans="1:6" x14ac:dyDescent="0.25">
      <c r="A66" s="1" t="s">
        <v>298</v>
      </c>
    </row>
    <row r="67" spans="1:6" x14ac:dyDescent="0.25">
      <c r="A67" s="4" t="s">
        <v>287</v>
      </c>
      <c r="B67" s="4" t="s">
        <v>288</v>
      </c>
      <c r="C67" s="4" t="s">
        <v>289</v>
      </c>
      <c r="D67" s="4" t="s">
        <v>290</v>
      </c>
      <c r="E67" s="4" t="s">
        <v>291</v>
      </c>
      <c r="F67" s="4" t="s">
        <v>292</v>
      </c>
    </row>
    <row r="68" spans="1:6" x14ac:dyDescent="0.25">
      <c r="A68" s="2" t="s">
        <v>293</v>
      </c>
      <c r="B68" s="2">
        <v>0.06</v>
      </c>
      <c r="C68" s="2">
        <v>0.12</v>
      </c>
      <c r="D68" s="2">
        <v>0.16</v>
      </c>
      <c r="E68" s="2">
        <v>0.24</v>
      </c>
      <c r="F68" s="2">
        <v>0.32</v>
      </c>
    </row>
    <row r="69" spans="1:6" x14ac:dyDescent="0.25">
      <c r="A69" s="2" t="s">
        <v>294</v>
      </c>
      <c r="B69" s="2">
        <v>0.08</v>
      </c>
      <c r="C69" s="2">
        <v>0.15</v>
      </c>
      <c r="D69" s="2">
        <v>0.2</v>
      </c>
      <c r="E69" s="2">
        <v>0.3</v>
      </c>
      <c r="F69" s="2">
        <v>0.4</v>
      </c>
    </row>
    <row r="70" spans="1:6" x14ac:dyDescent="0.25">
      <c r="A70" s="2" t="s">
        <v>295</v>
      </c>
      <c r="B70" s="2">
        <v>0.13</v>
      </c>
      <c r="C70" s="2">
        <v>0.25</v>
      </c>
      <c r="D70" s="2">
        <v>0.32</v>
      </c>
      <c r="E70" s="2">
        <v>0.45</v>
      </c>
      <c r="F70" s="2">
        <v>0.56000000000000005</v>
      </c>
    </row>
    <row r="71" spans="1:6" x14ac:dyDescent="0.25">
      <c r="A71" s="2" t="s">
        <v>296</v>
      </c>
      <c r="B71" s="2">
        <v>0.18</v>
      </c>
      <c r="C71" s="2">
        <v>0.32</v>
      </c>
      <c r="D71" s="2">
        <v>0.4</v>
      </c>
      <c r="E71" s="2">
        <v>0.54</v>
      </c>
      <c r="F71" s="2">
        <v>0.64</v>
      </c>
    </row>
    <row r="72" spans="1:6" x14ac:dyDescent="0.25">
      <c r="A72" s="2" t="s">
        <v>297</v>
      </c>
      <c r="B72" s="2">
        <v>0.26</v>
      </c>
      <c r="C72" s="2">
        <v>0.5</v>
      </c>
      <c r="D72" s="2">
        <v>0.64</v>
      </c>
      <c r="E72" s="2">
        <v>0.84</v>
      </c>
      <c r="F72" s="2">
        <v>0.96</v>
      </c>
    </row>
    <row r="75" spans="1:6" x14ac:dyDescent="0.25">
      <c r="A75" s="11" t="s">
        <v>299</v>
      </c>
    </row>
    <row r="76" spans="1:6" x14ac:dyDescent="0.25">
      <c r="A76" s="4" t="s">
        <v>265</v>
      </c>
      <c r="B76" s="4" t="s">
        <v>266</v>
      </c>
    </row>
    <row r="77" spans="1:6" x14ac:dyDescent="0.25">
      <c r="A77" s="7" t="s">
        <v>300</v>
      </c>
      <c r="B77" s="2">
        <v>4.5</v>
      </c>
    </row>
    <row r="78" spans="1:6" x14ac:dyDescent="0.25">
      <c r="A78" s="7" t="s">
        <v>301</v>
      </c>
      <c r="B78" s="2">
        <v>5.5</v>
      </c>
    </row>
    <row r="79" spans="1:6" x14ac:dyDescent="0.25">
      <c r="A79" s="7" t="s">
        <v>273</v>
      </c>
      <c r="B79" s="2">
        <v>8.5</v>
      </c>
    </row>
    <row r="80" spans="1:6" x14ac:dyDescent="0.25">
      <c r="A80" s="7" t="s">
        <v>274</v>
      </c>
      <c r="B80" s="2">
        <v>5.5</v>
      </c>
    </row>
    <row r="81" spans="1:9" x14ac:dyDescent="0.25">
      <c r="A81" s="7" t="s">
        <v>275</v>
      </c>
      <c r="B81" s="2">
        <v>3.5</v>
      </c>
    </row>
    <row r="82" spans="1:9" x14ac:dyDescent="0.25">
      <c r="A82" s="7" t="s">
        <v>302</v>
      </c>
      <c r="B82" s="2">
        <v>8.5</v>
      </c>
    </row>
    <row r="83" spans="1:9" x14ac:dyDescent="0.25">
      <c r="A83" s="7" t="s">
        <v>303</v>
      </c>
      <c r="B83" s="2">
        <v>6.5</v>
      </c>
    </row>
    <row r="86" spans="1:9" ht="15" customHeight="1" x14ac:dyDescent="0.25">
      <c r="A86" s="33" t="s">
        <v>304</v>
      </c>
      <c r="B86" s="33"/>
      <c r="C86" s="33"/>
      <c r="D86" s="33"/>
      <c r="E86" s="33"/>
      <c r="F86" s="33"/>
      <c r="G86" s="33"/>
      <c r="H86" s="33"/>
      <c r="I86" s="33"/>
    </row>
    <row r="87" spans="1:9" x14ac:dyDescent="0.25">
      <c r="A87" s="33"/>
      <c r="B87" s="33"/>
      <c r="C87" s="33"/>
      <c r="D87" s="33"/>
      <c r="E87" s="33"/>
      <c r="F87" s="33"/>
      <c r="G87" s="33"/>
      <c r="H87" s="33"/>
      <c r="I87" s="33"/>
    </row>
    <row r="88" spans="1:9" x14ac:dyDescent="0.25">
      <c r="A88" s="33"/>
      <c r="B88" s="33"/>
      <c r="C88" s="33"/>
      <c r="D88" s="33"/>
      <c r="E88" s="33"/>
      <c r="F88" s="33"/>
      <c r="G88" s="33"/>
      <c r="H88" s="33"/>
      <c r="I88" s="33"/>
    </row>
  </sheetData>
  <mergeCells count="17">
    <mergeCell ref="A50:I52"/>
    <mergeCell ref="A86:I88"/>
    <mergeCell ref="A31:D31"/>
    <mergeCell ref="A32:D32"/>
    <mergeCell ref="A33:D33"/>
    <mergeCell ref="A34:D34"/>
    <mergeCell ref="A35:D35"/>
    <mergeCell ref="A8:D8"/>
    <mergeCell ref="B17:F17"/>
    <mergeCell ref="B26:F26"/>
    <mergeCell ref="A29:D29"/>
    <mergeCell ref="A30:D30"/>
    <mergeCell ref="A1:I1"/>
    <mergeCell ref="A2:I2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9"/>
  <sheetViews>
    <sheetView showGridLines="0" topLeftCell="A4" zoomScaleNormal="100" workbookViewId="0">
      <selection activeCell="D25" sqref="D25"/>
    </sheetView>
  </sheetViews>
  <sheetFormatPr defaultColWidth="8.7109375" defaultRowHeight="15" x14ac:dyDescent="0.25"/>
  <cols>
    <col min="1" max="1" width="42" style="17" customWidth="1"/>
    <col min="2" max="2" width="14" style="17" customWidth="1"/>
    <col min="3" max="4" width="12" style="17" customWidth="1"/>
    <col min="5" max="5" width="40.5703125" style="17" bestFit="1" customWidth="1"/>
    <col min="6" max="8" width="12" style="17" customWidth="1"/>
    <col min="9" max="16384" width="8.7109375" style="17"/>
  </cols>
  <sheetData>
    <row r="1" spans="1:8" ht="25.5" customHeight="1" x14ac:dyDescent="0.25">
      <c r="A1" s="44" t="s">
        <v>305</v>
      </c>
      <c r="B1" s="44"/>
      <c r="C1" s="44"/>
      <c r="D1" s="44"/>
      <c r="E1" s="44"/>
      <c r="F1" s="44"/>
      <c r="G1" s="44"/>
      <c r="H1" s="44"/>
    </row>
    <row r="2" spans="1:8" x14ac:dyDescent="0.25">
      <c r="A2" s="45" t="s">
        <v>306</v>
      </c>
      <c r="B2" s="45"/>
      <c r="C2" s="45"/>
      <c r="D2" s="45"/>
      <c r="E2" s="45"/>
      <c r="F2" s="45"/>
      <c r="G2" s="45"/>
      <c r="H2" s="45"/>
    </row>
    <row r="3" spans="1:8" ht="15.75" x14ac:dyDescent="0.25">
      <c r="A3" s="22" t="s">
        <v>229</v>
      </c>
    </row>
    <row r="4" spans="1:8" x14ac:dyDescent="0.25">
      <c r="A4" s="18" t="s">
        <v>307</v>
      </c>
    </row>
    <row r="5" spans="1:8" x14ac:dyDescent="0.25">
      <c r="A5" s="46" t="s">
        <v>308</v>
      </c>
      <c r="B5" s="46"/>
      <c r="C5" s="46"/>
      <c r="D5" s="46"/>
      <c r="E5" s="23">
        <v>115</v>
      </c>
    </row>
    <row r="6" spans="1:8" x14ac:dyDescent="0.25">
      <c r="A6" s="46" t="s">
        <v>309</v>
      </c>
      <c r="B6" s="46"/>
      <c r="C6" s="46"/>
      <c r="D6" s="46"/>
      <c r="E6" s="23" t="s">
        <v>246</v>
      </c>
    </row>
    <row r="7" spans="1:8" x14ac:dyDescent="0.25">
      <c r="A7" s="46" t="s">
        <v>310</v>
      </c>
      <c r="B7" s="46"/>
      <c r="C7" s="46"/>
      <c r="D7" s="46"/>
      <c r="E7" s="23">
        <v>1</v>
      </c>
    </row>
    <row r="8" spans="1:8" x14ac:dyDescent="0.25">
      <c r="A8" s="46" t="s">
        <v>311</v>
      </c>
      <c r="B8" s="46"/>
      <c r="C8" s="46"/>
      <c r="D8" s="46"/>
      <c r="E8" s="23">
        <v>0.85</v>
      </c>
    </row>
    <row r="9" spans="1:8" x14ac:dyDescent="0.25">
      <c r="A9" s="46" t="s">
        <v>312</v>
      </c>
      <c r="B9" s="46"/>
      <c r="C9" s="46"/>
      <c r="D9" s="46"/>
      <c r="E9" s="23">
        <v>1</v>
      </c>
    </row>
    <row r="10" spans="1:8" x14ac:dyDescent="0.25">
      <c r="A10" s="46" t="s">
        <v>313</v>
      </c>
      <c r="B10" s="46"/>
      <c r="C10" s="46"/>
      <c r="D10" s="46"/>
      <c r="E10" s="23">
        <v>0.85</v>
      </c>
    </row>
    <row r="11" spans="1:8" x14ac:dyDescent="0.25">
      <c r="A11" s="46" t="s">
        <v>314</v>
      </c>
      <c r="B11" s="46"/>
      <c r="C11" s="46"/>
      <c r="D11" s="46"/>
      <c r="E11" s="23">
        <v>0.18</v>
      </c>
    </row>
    <row r="13" spans="1:8" x14ac:dyDescent="0.25">
      <c r="A13" s="18" t="s">
        <v>315</v>
      </c>
    </row>
    <row r="14" spans="1:8" x14ac:dyDescent="0.25">
      <c r="A14" s="24" t="s">
        <v>316</v>
      </c>
      <c r="B14" s="24" t="s">
        <v>317</v>
      </c>
      <c r="C14" s="24" t="s">
        <v>318</v>
      </c>
      <c r="D14" s="24" t="s">
        <v>319</v>
      </c>
      <c r="E14" s="24" t="s">
        <v>320</v>
      </c>
    </row>
    <row r="15" spans="1:8" x14ac:dyDescent="0.25">
      <c r="A15" s="19" t="s">
        <v>245</v>
      </c>
      <c r="B15" s="19">
        <v>7</v>
      </c>
      <c r="C15" s="19">
        <v>1200</v>
      </c>
      <c r="D15" s="19">
        <v>30</v>
      </c>
      <c r="E15" s="20" t="s">
        <v>321</v>
      </c>
    </row>
    <row r="16" spans="1:8" x14ac:dyDescent="0.25">
      <c r="A16" s="19" t="s">
        <v>246</v>
      </c>
      <c r="B16" s="19">
        <v>9.5</v>
      </c>
      <c r="C16" s="19">
        <v>900</v>
      </c>
      <c r="D16" s="19">
        <v>15</v>
      </c>
      <c r="E16" s="20" t="s">
        <v>322</v>
      </c>
    </row>
    <row r="17" spans="1:5" x14ac:dyDescent="0.25">
      <c r="A17" s="19" t="s">
        <v>234</v>
      </c>
      <c r="B17" s="19">
        <v>11.5</v>
      </c>
      <c r="C17" s="19">
        <v>700</v>
      </c>
      <c r="D17" s="19">
        <v>7</v>
      </c>
      <c r="E17" s="20" t="s">
        <v>323</v>
      </c>
    </row>
    <row r="19" spans="1:5" x14ac:dyDescent="0.25">
      <c r="A19" s="18" t="s">
        <v>324</v>
      </c>
      <c r="E19" s="21">
        <f>INDEX(B15:B17,MATCH(E6,A15:A17,0))</f>
        <v>9.5</v>
      </c>
    </row>
    <row r="20" spans="1:5" x14ac:dyDescent="0.25">
      <c r="A20" s="18" t="s">
        <v>325</v>
      </c>
      <c r="E20" s="21">
        <f>INDEX(C15:C17,MATCH(E6,A15:A17,0))</f>
        <v>900</v>
      </c>
    </row>
    <row r="21" spans="1:5" x14ac:dyDescent="0.25">
      <c r="A21" s="18" t="s">
        <v>326</v>
      </c>
      <c r="E21" s="21">
        <f>INDEX(D15:D17,MATCH(E6,A15:A17,0))</f>
        <v>15</v>
      </c>
    </row>
    <row r="23" spans="1:5" x14ac:dyDescent="0.25">
      <c r="A23" s="18" t="s">
        <v>327</v>
      </c>
    </row>
    <row r="24" spans="1:5" ht="24" x14ac:dyDescent="0.25">
      <c r="A24" s="25" t="s">
        <v>328</v>
      </c>
      <c r="B24" s="25" t="s">
        <v>329</v>
      </c>
      <c r="C24" s="25" t="s">
        <v>330</v>
      </c>
      <c r="D24" s="25" t="s">
        <v>331</v>
      </c>
      <c r="E24" s="25" t="s">
        <v>332</v>
      </c>
    </row>
    <row r="25" spans="1:5" x14ac:dyDescent="0.25">
      <c r="A25" s="19">
        <v>15</v>
      </c>
      <c r="B25" s="19">
        <f t="shared" ref="B25:B35" si="0">ROUND(A25/3.28084,1)</f>
        <v>4.5999999999999996</v>
      </c>
      <c r="C25" s="19">
        <f>ROUND(2.01*(MAX(A25,E21)/E20)^(2/E19),3)</f>
        <v>0.84899999999999998</v>
      </c>
      <c r="D25" s="19">
        <f>ROUND(0.00256*C25*E7*E8*E9*E5^2,1)</f>
        <v>24.4</v>
      </c>
      <c r="E25" s="19">
        <f t="shared" ref="E25:E35" si="1">ROUND(D25*0.04788,2)</f>
        <v>1.17</v>
      </c>
    </row>
    <row r="26" spans="1:5" x14ac:dyDescent="0.25">
      <c r="A26" s="19">
        <v>20</v>
      </c>
      <c r="B26" s="19">
        <f t="shared" si="0"/>
        <v>6.1</v>
      </c>
      <c r="C26" s="19">
        <f>ROUND(2.01*(MAX(A26,E21)/E20)^(2/E19),3)</f>
        <v>0.90200000000000002</v>
      </c>
      <c r="D26" s="19">
        <f>ROUND(0.00256*C26*E7*E8*E9*E5^2,1)</f>
        <v>26</v>
      </c>
      <c r="E26" s="19">
        <f t="shared" si="1"/>
        <v>1.24</v>
      </c>
    </row>
    <row r="27" spans="1:5" x14ac:dyDescent="0.25">
      <c r="A27" s="19">
        <v>30</v>
      </c>
      <c r="B27" s="19">
        <f t="shared" si="0"/>
        <v>9.1</v>
      </c>
      <c r="C27" s="19">
        <f>ROUND(2.01*(MAX(A27,E21)/E20)^(2/E19),3)</f>
        <v>0.98199999999999998</v>
      </c>
      <c r="D27" s="19">
        <f>ROUND(0.00256*C27*E7*E8*E9*E5^2,1)</f>
        <v>28.3</v>
      </c>
      <c r="E27" s="19">
        <f t="shared" si="1"/>
        <v>1.36</v>
      </c>
    </row>
    <row r="28" spans="1:5" x14ac:dyDescent="0.25">
      <c r="A28" s="19">
        <v>40</v>
      </c>
      <c r="B28" s="19">
        <f t="shared" si="0"/>
        <v>12.2</v>
      </c>
      <c r="C28" s="19">
        <f>ROUND(2.01*(MAX(A28,E21)/E20)^(2/E19),3)</f>
        <v>1.044</v>
      </c>
      <c r="D28" s="19">
        <f>ROUND(0.00256*C28*E7*E8*E9*E5^2,1)</f>
        <v>30</v>
      </c>
      <c r="E28" s="19">
        <f t="shared" si="1"/>
        <v>1.44</v>
      </c>
    </row>
    <row r="29" spans="1:5" x14ac:dyDescent="0.25">
      <c r="A29" s="19">
        <v>50</v>
      </c>
      <c r="B29" s="19">
        <f t="shared" si="0"/>
        <v>15.2</v>
      </c>
      <c r="C29" s="19">
        <f>ROUND(2.01*(MAX(A29,E21)/E20)^(2/E19),3)</f>
        <v>1.0940000000000001</v>
      </c>
      <c r="D29" s="19">
        <f>ROUND(0.00256*C29*E7*E8*E9*E5^2,1)</f>
        <v>31.5</v>
      </c>
      <c r="E29" s="19">
        <f t="shared" si="1"/>
        <v>1.51</v>
      </c>
    </row>
    <row r="30" spans="1:5" x14ac:dyDescent="0.25">
      <c r="A30" s="19">
        <v>60</v>
      </c>
      <c r="B30" s="19">
        <f t="shared" si="0"/>
        <v>18.3</v>
      </c>
      <c r="C30" s="19">
        <f>ROUND(2.01*(MAX(A30,E21)/E20)^(2/E19),3)</f>
        <v>1.137</v>
      </c>
      <c r="D30" s="19">
        <f>ROUND(0.00256*C30*E7*E8*E9*E5^2,1)</f>
        <v>32.700000000000003</v>
      </c>
      <c r="E30" s="19">
        <f t="shared" si="1"/>
        <v>1.57</v>
      </c>
    </row>
    <row r="31" spans="1:5" x14ac:dyDescent="0.25">
      <c r="A31" s="19">
        <v>80</v>
      </c>
      <c r="B31" s="19">
        <f t="shared" si="0"/>
        <v>24.4</v>
      </c>
      <c r="C31" s="19">
        <f>ROUND(2.01*(MAX(A31,E21)/E20)^(2/E19),3)</f>
        <v>1.208</v>
      </c>
      <c r="D31" s="19">
        <f>ROUND(0.00256*C31*E7*E8*E9*E5^2,1)</f>
        <v>34.799999999999997</v>
      </c>
      <c r="E31" s="19">
        <f t="shared" si="1"/>
        <v>1.67</v>
      </c>
    </row>
    <row r="32" spans="1:5" x14ac:dyDescent="0.25">
      <c r="A32" s="19">
        <v>100</v>
      </c>
      <c r="B32" s="19">
        <f t="shared" si="0"/>
        <v>30.5</v>
      </c>
      <c r="C32" s="19">
        <f>ROUND(2.01*(MAX(A32,E21)/E20)^(2/E19),3)</f>
        <v>1.266</v>
      </c>
      <c r="D32" s="19">
        <f>ROUND(0.00256*C32*E7*E8*E9*E5^2,1)</f>
        <v>36.4</v>
      </c>
      <c r="E32" s="19">
        <f t="shared" si="1"/>
        <v>1.74</v>
      </c>
    </row>
    <row r="33" spans="1:8" x14ac:dyDescent="0.25">
      <c r="A33" s="19">
        <v>150</v>
      </c>
      <c r="B33" s="19">
        <f t="shared" si="0"/>
        <v>45.7</v>
      </c>
      <c r="C33" s="19">
        <f>ROUND(2.01*(MAX(A33,E21)/E20)^(2/E19),3)</f>
        <v>1.3779999999999999</v>
      </c>
      <c r="D33" s="19">
        <f>ROUND(0.00256*C33*E7*E8*E9*E5^2,1)</f>
        <v>39.700000000000003</v>
      </c>
      <c r="E33" s="19">
        <f t="shared" si="1"/>
        <v>1.9</v>
      </c>
    </row>
    <row r="34" spans="1:8" x14ac:dyDescent="0.25">
      <c r="A34" s="19">
        <v>200</v>
      </c>
      <c r="B34" s="19">
        <f t="shared" si="0"/>
        <v>61</v>
      </c>
      <c r="C34" s="19">
        <f>ROUND(2.01*(MAX(A34,E21)/E20)^(2/E19),3)</f>
        <v>1.464</v>
      </c>
      <c r="D34" s="19">
        <f>ROUND(0.00256*C34*E7*E8*E9*E5^2,1)</f>
        <v>42.1</v>
      </c>
      <c r="E34" s="19">
        <f t="shared" si="1"/>
        <v>2.02</v>
      </c>
    </row>
    <row r="35" spans="1:8" x14ac:dyDescent="0.25">
      <c r="A35" s="19">
        <v>300</v>
      </c>
      <c r="B35" s="19">
        <f t="shared" si="0"/>
        <v>91.4</v>
      </c>
      <c r="C35" s="19">
        <f>ROUND(2.01*(MAX(A35,E21)/E20)^(2/E19),3)</f>
        <v>1.595</v>
      </c>
      <c r="D35" s="19">
        <f>ROUND(0.00256*C35*E7*E8*E9*E5^2,1)</f>
        <v>45.9</v>
      </c>
      <c r="E35" s="19">
        <f t="shared" si="1"/>
        <v>2.2000000000000002</v>
      </c>
    </row>
    <row r="37" spans="1:8" ht="15" customHeight="1" x14ac:dyDescent="0.25">
      <c r="A37" s="47" t="s">
        <v>333</v>
      </c>
      <c r="B37" s="47"/>
      <c r="C37" s="47"/>
      <c r="D37" s="47"/>
      <c r="E37" s="47"/>
      <c r="F37" s="47"/>
      <c r="G37" s="47"/>
      <c r="H37" s="47"/>
    </row>
    <row r="38" spans="1:8" x14ac:dyDescent="0.25">
      <c r="A38" s="47"/>
      <c r="B38" s="47"/>
      <c r="C38" s="47"/>
      <c r="D38" s="47"/>
      <c r="E38" s="47"/>
      <c r="F38" s="47"/>
      <c r="G38" s="47"/>
      <c r="H38" s="47"/>
    </row>
    <row r="40" spans="1:8" ht="15.75" x14ac:dyDescent="0.25">
      <c r="A40" s="22" t="s">
        <v>334</v>
      </c>
    </row>
    <row r="41" spans="1:8" x14ac:dyDescent="0.25">
      <c r="A41" s="18" t="s">
        <v>335</v>
      </c>
    </row>
    <row r="42" spans="1:8" ht="36" x14ac:dyDescent="0.25">
      <c r="A42" s="24" t="s">
        <v>336</v>
      </c>
      <c r="B42" s="24" t="s">
        <v>337</v>
      </c>
      <c r="C42" s="24" t="s">
        <v>338</v>
      </c>
      <c r="D42" s="24" t="s">
        <v>339</v>
      </c>
    </row>
    <row r="43" spans="1:8" x14ac:dyDescent="0.25">
      <c r="A43" s="19">
        <v>70</v>
      </c>
      <c r="B43" s="19">
        <v>12.6</v>
      </c>
      <c r="C43" s="19">
        <f t="shared" ref="C43:C49" si="2">ROUND(A43*1.60934,0)</f>
        <v>113</v>
      </c>
      <c r="D43" s="19">
        <f t="shared" ref="D43:D49" si="3">ROUND(B43*0.04788,2)</f>
        <v>0.6</v>
      </c>
    </row>
    <row r="44" spans="1:8" x14ac:dyDescent="0.25">
      <c r="A44" s="19">
        <v>80</v>
      </c>
      <c r="B44" s="19">
        <v>16.399999999999999</v>
      </c>
      <c r="C44" s="19">
        <f t="shared" si="2"/>
        <v>129</v>
      </c>
      <c r="D44" s="19">
        <f t="shared" si="3"/>
        <v>0.79</v>
      </c>
    </row>
    <row r="45" spans="1:8" x14ac:dyDescent="0.25">
      <c r="A45" s="19">
        <v>90</v>
      </c>
      <c r="B45" s="19">
        <v>20.8</v>
      </c>
      <c r="C45" s="19">
        <f t="shared" si="2"/>
        <v>145</v>
      </c>
      <c r="D45" s="19">
        <f t="shared" si="3"/>
        <v>1</v>
      </c>
    </row>
    <row r="46" spans="1:8" x14ac:dyDescent="0.25">
      <c r="A46" s="19">
        <v>100</v>
      </c>
      <c r="B46" s="19">
        <v>25.6</v>
      </c>
      <c r="C46" s="19">
        <f t="shared" si="2"/>
        <v>161</v>
      </c>
      <c r="D46" s="19">
        <f t="shared" si="3"/>
        <v>1.23</v>
      </c>
    </row>
    <row r="47" spans="1:8" x14ac:dyDescent="0.25">
      <c r="A47" s="19">
        <v>110</v>
      </c>
      <c r="B47" s="19">
        <v>31</v>
      </c>
      <c r="C47" s="19">
        <f t="shared" si="2"/>
        <v>177</v>
      </c>
      <c r="D47" s="19">
        <f t="shared" si="3"/>
        <v>1.48</v>
      </c>
    </row>
    <row r="48" spans="1:8" x14ac:dyDescent="0.25">
      <c r="A48" s="19">
        <v>120</v>
      </c>
      <c r="B48" s="19">
        <v>36.9</v>
      </c>
      <c r="C48" s="19">
        <f t="shared" si="2"/>
        <v>193</v>
      </c>
      <c r="D48" s="19">
        <f t="shared" si="3"/>
        <v>1.77</v>
      </c>
    </row>
    <row r="49" spans="1:8" x14ac:dyDescent="0.25">
      <c r="A49" s="19">
        <v>130</v>
      </c>
      <c r="B49" s="19">
        <v>43.3</v>
      </c>
      <c r="C49" s="19">
        <f t="shared" si="2"/>
        <v>209</v>
      </c>
      <c r="D49" s="19">
        <f t="shared" si="3"/>
        <v>2.0699999999999998</v>
      </c>
    </row>
    <row r="52" spans="1:8" x14ac:dyDescent="0.25">
      <c r="A52" s="18" t="s">
        <v>340</v>
      </c>
    </row>
    <row r="53" spans="1:8" x14ac:dyDescent="0.25">
      <c r="A53" s="18" t="s">
        <v>341</v>
      </c>
      <c r="B53" s="46" t="s">
        <v>342</v>
      </c>
      <c r="C53" s="46"/>
      <c r="D53" s="46"/>
      <c r="E53" s="46"/>
      <c r="F53" s="46"/>
      <c r="G53" s="46"/>
      <c r="H53" s="46"/>
    </row>
    <row r="54" spans="1:8" x14ac:dyDescent="0.25">
      <c r="A54" s="18" t="s">
        <v>343</v>
      </c>
      <c r="B54" s="46" t="s">
        <v>344</v>
      </c>
      <c r="C54" s="46"/>
      <c r="D54" s="46"/>
      <c r="E54" s="46"/>
      <c r="F54" s="46"/>
      <c r="G54" s="46"/>
      <c r="H54" s="46"/>
    </row>
    <row r="55" spans="1:8" x14ac:dyDescent="0.25">
      <c r="A55" s="18" t="s">
        <v>345</v>
      </c>
      <c r="B55" s="46" t="s">
        <v>346</v>
      </c>
      <c r="C55" s="46"/>
      <c r="D55" s="46"/>
      <c r="E55" s="46"/>
      <c r="F55" s="46"/>
      <c r="G55" s="46"/>
      <c r="H55" s="46"/>
    </row>
    <row r="57" spans="1:8" ht="15" customHeight="1" x14ac:dyDescent="0.25">
      <c r="A57" s="47" t="s">
        <v>347</v>
      </c>
      <c r="B57" s="47"/>
      <c r="C57" s="47"/>
      <c r="D57" s="47"/>
      <c r="E57" s="47"/>
      <c r="F57" s="47"/>
      <c r="G57" s="47"/>
      <c r="H57" s="47"/>
    </row>
    <row r="58" spans="1:8" x14ac:dyDescent="0.25">
      <c r="A58" s="47"/>
      <c r="B58" s="47"/>
      <c r="C58" s="47"/>
      <c r="D58" s="47"/>
      <c r="E58" s="47"/>
      <c r="F58" s="47"/>
      <c r="G58" s="47"/>
      <c r="H58" s="47"/>
    </row>
    <row r="59" spans="1:8" x14ac:dyDescent="0.25">
      <c r="A59" s="47"/>
      <c r="B59" s="47"/>
      <c r="C59" s="47"/>
      <c r="D59" s="47"/>
      <c r="E59" s="47"/>
      <c r="F59" s="47"/>
      <c r="G59" s="47"/>
      <c r="H59" s="47"/>
    </row>
  </sheetData>
  <mergeCells count="14">
    <mergeCell ref="B53:H53"/>
    <mergeCell ref="B54:H54"/>
    <mergeCell ref="B55:H55"/>
    <mergeCell ref="A57:H59"/>
    <mergeCell ref="A8:D8"/>
    <mergeCell ref="A9:D9"/>
    <mergeCell ref="A10:D10"/>
    <mergeCell ref="A11:D11"/>
    <mergeCell ref="A37:H38"/>
    <mergeCell ref="A1:H1"/>
    <mergeCell ref="A2:H2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Concrete</vt:lpstr>
      <vt:lpstr>Rebar</vt:lpstr>
      <vt:lpstr>Frame Sections - Beam</vt:lpstr>
      <vt:lpstr>Frame Sections - Column</vt:lpstr>
      <vt:lpstr>Slab Sections</vt:lpstr>
      <vt:lpstr>Wall Sections</vt:lpstr>
      <vt:lpstr>Live-Dead Loads</vt:lpstr>
      <vt:lpstr>Seismic Design Parameters</vt:lpstr>
      <vt:lpstr>Wind Design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Tufail Mabood</cp:lastModifiedBy>
  <cp:revision>0</cp:revision>
  <dcterms:created xsi:type="dcterms:W3CDTF">2026-09-02T08:41:26Z</dcterms:created>
  <dcterms:modified xsi:type="dcterms:W3CDTF">2026-09-07T12:07:14Z</dcterms:modified>
  <dc:language>en-US</dc:language>
</cp:coreProperties>
</file>