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ufail Mabood\Desktop\ETABS-Grasshopper\Modeling a 10 Story Building in ETAB\Modeling a 10 Story Building in ETAB\Excel Sheets\"/>
    </mc:Choice>
  </mc:AlternateContent>
  <xr:revisionPtr revIDLastSave="0" documentId="13_ncr:1_{994C6D56-BCFE-4E9B-BF99-E59B5F6635BC}" xr6:coauthVersionLast="47" xr6:coauthVersionMax="47" xr10:uidLastSave="{00000000-0000-0000-0000-000000000000}"/>
  <bookViews>
    <workbookView xWindow="-120" yWindow="-120" windowWidth="20730" windowHeight="11310" tabRatio="500" xr2:uid="{00000000-000D-0000-FFFF-FFFF00000000}"/>
  </bookViews>
  <sheets>
    <sheet name="Rebar Sizes (Pakistan)" sheetId="1" r:id="rId1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1" l="1"/>
  <c r="M16" i="1" s="1"/>
  <c r="C15" i="1"/>
  <c r="D15" i="1" s="1"/>
  <c r="M14" i="1"/>
  <c r="E14" i="1"/>
  <c r="F14" i="1" s="1"/>
  <c r="C14" i="1"/>
  <c r="K14" i="1" s="1"/>
  <c r="L14" i="1" s="1"/>
  <c r="M13" i="1"/>
  <c r="E13" i="1"/>
  <c r="F13" i="1" s="1"/>
  <c r="D13" i="1"/>
  <c r="C13" i="1"/>
  <c r="K13" i="1" s="1"/>
  <c r="L13" i="1" s="1"/>
  <c r="C12" i="1"/>
  <c r="M12" i="1" s="1"/>
  <c r="C11" i="1"/>
  <c r="D11" i="1" s="1"/>
  <c r="M10" i="1"/>
  <c r="E10" i="1"/>
  <c r="F10" i="1" s="1"/>
  <c r="C10" i="1"/>
  <c r="K10" i="1" s="1"/>
  <c r="L10" i="1" s="1"/>
  <c r="M9" i="1"/>
  <c r="E9" i="1"/>
  <c r="F9" i="1" s="1"/>
  <c r="D9" i="1"/>
  <c r="C9" i="1"/>
  <c r="K9" i="1" s="1"/>
  <c r="L9" i="1" s="1"/>
  <c r="C8" i="1"/>
  <c r="M8" i="1" s="1"/>
  <c r="C7" i="1"/>
  <c r="D7" i="1" s="1"/>
  <c r="M6" i="1"/>
  <c r="E6" i="1"/>
  <c r="F6" i="1" s="1"/>
  <c r="C6" i="1"/>
  <c r="K6" i="1" s="1"/>
  <c r="L6" i="1" s="1"/>
  <c r="M5" i="1"/>
  <c r="E5" i="1"/>
  <c r="F5" i="1" s="1"/>
  <c r="D5" i="1"/>
  <c r="C5" i="1"/>
  <c r="K5" i="1" s="1"/>
  <c r="L5" i="1" s="1"/>
  <c r="K8" i="1" l="1"/>
  <c r="L8" i="1" s="1"/>
  <c r="G5" i="1"/>
  <c r="D6" i="1"/>
  <c r="E7" i="1"/>
  <c r="F7" i="1" s="1"/>
  <c r="M7" i="1"/>
  <c r="G9" i="1"/>
  <c r="D10" i="1"/>
  <c r="E11" i="1"/>
  <c r="F11" i="1" s="1"/>
  <c r="M11" i="1"/>
  <c r="G13" i="1"/>
  <c r="D14" i="1"/>
  <c r="E15" i="1"/>
  <c r="F15" i="1" s="1"/>
  <c r="M15" i="1"/>
  <c r="G12" i="1"/>
  <c r="G16" i="1"/>
  <c r="K16" i="1"/>
  <c r="L16" i="1" s="1"/>
  <c r="G8" i="1"/>
  <c r="G7" i="1"/>
  <c r="K7" i="1"/>
  <c r="L7" i="1" s="1"/>
  <c r="D8" i="1"/>
  <c r="G15" i="1"/>
  <c r="K15" i="1"/>
  <c r="L15" i="1" s="1"/>
  <c r="D16" i="1"/>
  <c r="K12" i="1"/>
  <c r="L12" i="1" s="1"/>
  <c r="G11" i="1"/>
  <c r="K11" i="1"/>
  <c r="L11" i="1" s="1"/>
  <c r="D12" i="1"/>
  <c r="G6" i="1"/>
  <c r="E8" i="1"/>
  <c r="F8" i="1" s="1"/>
  <c r="G10" i="1"/>
  <c r="E12" i="1"/>
  <c r="F12" i="1" s="1"/>
  <c r="G14" i="1"/>
  <c r="E16" i="1"/>
  <c r="F16" i="1" s="1"/>
  <c r="H7" i="1" l="1"/>
  <c r="I7" i="1"/>
  <c r="J7" i="1" s="1"/>
  <c r="I13" i="1"/>
  <c r="J13" i="1" s="1"/>
  <c r="H13" i="1"/>
  <c r="I5" i="1"/>
  <c r="J5" i="1" s="1"/>
  <c r="H5" i="1"/>
  <c r="I8" i="1"/>
  <c r="J8" i="1" s="1"/>
  <c r="H8" i="1"/>
  <c r="I6" i="1"/>
  <c r="J6" i="1" s="1"/>
  <c r="H6" i="1"/>
  <c r="I10" i="1"/>
  <c r="J10" i="1" s="1"/>
  <c r="H10" i="1"/>
  <c r="I12" i="1"/>
  <c r="J12" i="1" s="1"/>
  <c r="H12" i="1"/>
  <c r="I9" i="1"/>
  <c r="J9" i="1" s="1"/>
  <c r="H9" i="1"/>
  <c r="H11" i="1"/>
  <c r="I11" i="1"/>
  <c r="J11" i="1" s="1"/>
  <c r="H15" i="1"/>
  <c r="I15" i="1"/>
  <c r="J15" i="1" s="1"/>
  <c r="I14" i="1"/>
  <c r="J14" i="1" s="1"/>
  <c r="H14" i="1"/>
  <c r="I16" i="1"/>
  <c r="J16" i="1" s="1"/>
  <c r="H16" i="1"/>
</calcChain>
</file>

<file path=xl/sharedStrings.xml><?xml version="1.0" encoding="utf-8"?>
<sst xmlns="http://schemas.openxmlformats.org/spreadsheetml/2006/main" count="47" uniqueCount="47">
  <si>
    <t>Reinforcement Bars (Rebar) Available in Pakistan — Size Reference Table</t>
  </si>
  <si>
    <t>Standard deformed (ribbed) metric bar sizes commonly rolled by Pakistani steel mills (e.g. Amreli, Agha, Mughal, Ittefaq, Pakistan Steel) — Grade 60 / Grade 460, per ASTM A615 / BS 4449 equivalent metric range.</t>
  </si>
  <si>
    <t>Bar Designation
(mm)</t>
  </si>
  <si>
    <t>US Customary
Bar No. (approx.)</t>
  </si>
  <si>
    <t>Nominal Diameter
(mm)</t>
  </si>
  <si>
    <t>Nominal Diameter
(m)</t>
  </si>
  <si>
    <t>Nominal Diameter
(in)</t>
  </si>
  <si>
    <t>Nominal Diameter
(ft)</t>
  </si>
  <si>
    <t>Cross-Sectional Area
(mm²)</t>
  </si>
  <si>
    <t>Cross-Sectional Area
(m²)</t>
  </si>
  <si>
    <t>Cross-Sectional Area
(in²)</t>
  </si>
  <si>
    <t>Cross-Sectional Area
(ft²)</t>
  </si>
  <si>
    <t>Unit Weight
(kg/m)</t>
  </si>
  <si>
    <t>Unit Weight
(lb/ft)</t>
  </si>
  <si>
    <t>Perimeter
(mm)</t>
  </si>
  <si>
    <t>Common Use</t>
  </si>
  <si>
    <t>#2 (approx.)</t>
  </si>
  <si>
    <t>Stirrups / ties / links, light mesh</t>
  </si>
  <si>
    <t>#3 (approx.)</t>
  </si>
  <si>
    <t>Stirrups / ties, slab distribution steel</t>
  </si>
  <si>
    <t>#3</t>
  </si>
  <si>
    <t>Slab main steel, stirrups, distribution bars</t>
  </si>
  <si>
    <t>#4</t>
  </si>
  <si>
    <t>Slab reinforcement, column ties, light beams</t>
  </si>
  <si>
    <t>#5</t>
  </si>
  <si>
    <t>Beam main steel, column longitudinal bars</t>
  </si>
  <si>
    <t>#6</t>
  </si>
  <si>
    <t>Column &amp; beam main reinforcement</t>
  </si>
  <si>
    <t>#7</t>
  </si>
  <si>
    <t>Heavy beams and columns</t>
  </si>
  <si>
    <t>#8</t>
  </si>
  <si>
    <t>Columns, footings, heavy structural members</t>
  </si>
  <si>
    <t>#9</t>
  </si>
  <si>
    <t>Foundations, high-rise columns</t>
  </si>
  <si>
    <t>#10</t>
  </si>
  <si>
    <t>Raft foundations, heavy columns, piers</t>
  </si>
  <si>
    <t>#11</t>
  </si>
  <si>
    <t>Bridges, high-load foundations</t>
  </si>
  <si>
    <t>#12 (approx.)</t>
  </si>
  <si>
    <t>Bridges, dams, mass foundations</t>
  </si>
  <si>
    <t>Notes &amp; Assumptions:</t>
  </si>
  <si>
    <t>1. Bar Designation (mm) = nominal metric diameter as sold in the Pakistani market (blue cells, column A) — this is the only hardcoded input; all other columns are formulas.</t>
  </si>
  <si>
    <t>2. Cross-sectional Area = π·d²/4, computed from nominal diameter (standard formula for round deformed bars).</t>
  </si>
  <si>
    <t>3. Unit Weight (kg/m) uses the standard steel-rebar approximation d²/162 (d in mm), based on steel density ≈ 7850 kg/m³ — widely used by mills including in Pakistan.</t>
  </si>
  <si>
    <t>4. 'US Customary Bar No.' is an approximate nearest match to ASTM #3–#11 sizes for reference only; Pakistani mills sell by metric mm designation, not US bar numbers.</t>
  </si>
  <si>
    <t>5. Common bar sizes actually stocked vary by mill and city; 10-40mm covers the range typically available from major Pakistani producers (Amreli Steel, Agha Steel, Mughal Steel, Ittefaq, International Steels, Pakistan Steel Mills).</t>
  </si>
  <si>
    <t>6. Source: standard reinforcement bar engineering references (ASTM A615 / BS 4449 metric series) — verify exact stock sizes with your local supplier before procurement, as availability differs by mill and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</si>
</sst>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0.000000"/>
  </numFmts>
  <fonts count="5" x14ac:knownFonts="1">
    <font>
      <sz val="11"/>
      <color theme="1"/>
      <name val="Calibri"/>
      <family val="2"/>
      <charset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/>
    <xf numFmtId="0" fontId="1" fillId="0" borderId="0" xfId="0" applyFont="1" applyFill="1"/>
    <xf numFmtId="0" fontId="3" fillId="0" borderId="0" xfId="0" applyFont="1" applyFill="1"/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165" fontId="1" fillId="0" borderId="1" xfId="0" applyNumberFormat="1" applyFont="1" applyFill="1" applyBorder="1" applyAlignment="1">
      <alignment horizontal="center" vertical="center" wrapText="1"/>
    </xf>
    <xf numFmtId="166" fontId="1" fillId="0" borderId="1" xfId="0" applyNumberFormat="1" applyFont="1" applyFill="1" applyBorder="1" applyAlignment="1">
      <alignment horizontal="center" vertical="center" wrapText="1"/>
    </xf>
    <xf numFmtId="167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4" fillId="0" borderId="0" xfId="0" applyFont="1" applyFill="1"/>
    <xf numFmtId="0" fontId="3" fillId="0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zoomScaleNormal="100" workbookViewId="0">
      <pane ySplit="4" topLeftCell="A5" activePane="bottomLeft" state="frozen"/>
      <selection pane="bottomLeft" activeCell="C8" sqref="C8"/>
    </sheetView>
  </sheetViews>
  <sheetFormatPr defaultColWidth="8.7109375" defaultRowHeight="15" x14ac:dyDescent="0.25"/>
  <cols>
    <col min="1" max="1" width="14" style="2" bestFit="1" customWidth="1"/>
    <col min="2" max="2" width="14.28515625" style="2" bestFit="1" customWidth="1"/>
    <col min="3" max="6" width="15.42578125" style="2" bestFit="1" customWidth="1"/>
    <col min="7" max="10" width="18.140625" style="2" bestFit="1" customWidth="1"/>
    <col min="11" max="12" width="10.5703125" style="2" bestFit="1" customWidth="1"/>
    <col min="13" max="13" width="9" style="2" bestFit="1" customWidth="1"/>
    <col min="14" max="14" width="39.5703125" style="2" bestFit="1" customWidth="1"/>
    <col min="15" max="16384" width="8.7109375" style="2"/>
  </cols>
  <sheetData>
    <row r="1" spans="1:14" ht="18.7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1:14" ht="31.5" customHeigh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spans="1:14" ht="25.5" customHeight="1" x14ac:dyDescent="0.25">
      <c r="A5" s="5">
        <v>6</v>
      </c>
      <c r="B5" s="5" t="s">
        <v>16</v>
      </c>
      <c r="C5" s="6">
        <f t="shared" ref="C5:C16" si="0">A5</f>
        <v>6</v>
      </c>
      <c r="D5" s="7">
        <f t="shared" ref="D5:D16" si="1">C5/1000</f>
        <v>6.0000000000000001E-3</v>
      </c>
      <c r="E5" s="7">
        <f t="shared" ref="E5:E16" si="2">C5/25.4</f>
        <v>0.23622047244094491</v>
      </c>
      <c r="F5" s="8">
        <f t="shared" ref="F5:F16" si="3">E5/12</f>
        <v>1.9685039370078743E-2</v>
      </c>
      <c r="G5" s="9">
        <f t="shared" ref="G5:G16" si="4">PI()*C5^2/4</f>
        <v>28.274333882308138</v>
      </c>
      <c r="H5" s="10">
        <f t="shared" ref="H5:H16" si="5">G5/1000000</f>
        <v>2.8274333882308137E-5</v>
      </c>
      <c r="I5" s="8">
        <f t="shared" ref="I5:I16" si="6">G5/645.16</f>
        <v>4.3825305168187952E-2</v>
      </c>
      <c r="J5" s="10">
        <f t="shared" ref="J5:J16" si="7">I5/144</f>
        <v>3.0434239700130524E-4</v>
      </c>
      <c r="K5" s="7">
        <f t="shared" ref="K5:K16" si="8">C5^2/162</f>
        <v>0.22222222222222221</v>
      </c>
      <c r="L5" s="7">
        <f t="shared" ref="L5:L16" si="9">K5*0.671969</f>
        <v>0.14932644444444446</v>
      </c>
      <c r="M5" s="9">
        <f t="shared" ref="M5:M16" si="10">PI()*C5</f>
        <v>18.849555921538759</v>
      </c>
      <c r="N5" s="11" t="s">
        <v>17</v>
      </c>
    </row>
    <row r="6" spans="1:14" ht="25.5" customHeight="1" x14ac:dyDescent="0.25">
      <c r="A6" s="5">
        <v>8</v>
      </c>
      <c r="B6" s="5" t="s">
        <v>18</v>
      </c>
      <c r="C6" s="6">
        <f t="shared" si="0"/>
        <v>8</v>
      </c>
      <c r="D6" s="7">
        <f t="shared" si="1"/>
        <v>8.0000000000000002E-3</v>
      </c>
      <c r="E6" s="7">
        <f t="shared" si="2"/>
        <v>0.31496062992125984</v>
      </c>
      <c r="F6" s="8">
        <f t="shared" si="3"/>
        <v>2.6246719160104987E-2</v>
      </c>
      <c r="G6" s="9">
        <f t="shared" si="4"/>
        <v>50.26548245743669</v>
      </c>
      <c r="H6" s="10">
        <f t="shared" si="5"/>
        <v>5.0265482457436693E-5</v>
      </c>
      <c r="I6" s="8">
        <f t="shared" si="6"/>
        <v>7.7911653632334141E-2</v>
      </c>
      <c r="J6" s="10">
        <f t="shared" si="7"/>
        <v>5.4105315022454266E-4</v>
      </c>
      <c r="K6" s="7">
        <f t="shared" si="8"/>
        <v>0.39506172839506171</v>
      </c>
      <c r="L6" s="7">
        <f t="shared" si="9"/>
        <v>0.26546923456790122</v>
      </c>
      <c r="M6" s="9">
        <f t="shared" si="10"/>
        <v>25.132741228718345</v>
      </c>
      <c r="N6" s="11" t="s">
        <v>19</v>
      </c>
    </row>
    <row r="7" spans="1:14" ht="25.5" customHeight="1" x14ac:dyDescent="0.25">
      <c r="A7" s="5">
        <v>10</v>
      </c>
      <c r="B7" s="5" t="s">
        <v>20</v>
      </c>
      <c r="C7" s="6">
        <f t="shared" si="0"/>
        <v>10</v>
      </c>
      <c r="D7" s="7">
        <f t="shared" si="1"/>
        <v>0.01</v>
      </c>
      <c r="E7" s="7">
        <f t="shared" si="2"/>
        <v>0.39370078740157483</v>
      </c>
      <c r="F7" s="8">
        <f t="shared" si="3"/>
        <v>3.2808398950131233E-2</v>
      </c>
      <c r="G7" s="9">
        <f t="shared" si="4"/>
        <v>78.539816339744831</v>
      </c>
      <c r="H7" s="10">
        <f t="shared" si="5"/>
        <v>7.8539816339744827E-5</v>
      </c>
      <c r="I7" s="8">
        <f t="shared" si="6"/>
        <v>0.1217369588005221</v>
      </c>
      <c r="J7" s="10">
        <f t="shared" si="7"/>
        <v>8.4539554722584795E-4</v>
      </c>
      <c r="K7" s="7">
        <f t="shared" si="8"/>
        <v>0.61728395061728392</v>
      </c>
      <c r="L7" s="7">
        <f t="shared" si="9"/>
        <v>0.41479567901234565</v>
      </c>
      <c r="M7" s="9">
        <f t="shared" si="10"/>
        <v>31.415926535897931</v>
      </c>
      <c r="N7" s="11" t="s">
        <v>21</v>
      </c>
    </row>
    <row r="8" spans="1:14" ht="25.5" customHeight="1" x14ac:dyDescent="0.25">
      <c r="A8" s="5">
        <v>12</v>
      </c>
      <c r="B8" s="5" t="s">
        <v>22</v>
      </c>
      <c r="C8" s="6">
        <f t="shared" si="0"/>
        <v>12</v>
      </c>
      <c r="D8" s="7">
        <f t="shared" si="1"/>
        <v>1.2E-2</v>
      </c>
      <c r="E8" s="7">
        <f t="shared" si="2"/>
        <v>0.47244094488188981</v>
      </c>
      <c r="F8" s="8">
        <f t="shared" si="3"/>
        <v>3.9370078740157487E-2</v>
      </c>
      <c r="G8" s="9">
        <f t="shared" si="4"/>
        <v>113.09733552923255</v>
      </c>
      <c r="H8" s="10">
        <f t="shared" si="5"/>
        <v>1.1309733552923255E-4</v>
      </c>
      <c r="I8" s="8">
        <f t="shared" si="6"/>
        <v>0.17530122067275181</v>
      </c>
      <c r="J8" s="10">
        <f t="shared" si="7"/>
        <v>1.2173695880052209E-3</v>
      </c>
      <c r="K8" s="7">
        <f t="shared" si="8"/>
        <v>0.88888888888888884</v>
      </c>
      <c r="L8" s="7">
        <f t="shared" si="9"/>
        <v>0.59730577777777782</v>
      </c>
      <c r="M8" s="9">
        <f t="shared" si="10"/>
        <v>37.699111843077517</v>
      </c>
      <c r="N8" s="11" t="s">
        <v>23</v>
      </c>
    </row>
    <row r="9" spans="1:14" ht="25.5" customHeight="1" x14ac:dyDescent="0.25">
      <c r="A9" s="5">
        <v>16</v>
      </c>
      <c r="B9" s="5" t="s">
        <v>24</v>
      </c>
      <c r="C9" s="6">
        <f t="shared" si="0"/>
        <v>16</v>
      </c>
      <c r="D9" s="7">
        <f t="shared" si="1"/>
        <v>1.6E-2</v>
      </c>
      <c r="E9" s="7">
        <f t="shared" si="2"/>
        <v>0.62992125984251968</v>
      </c>
      <c r="F9" s="8">
        <f t="shared" si="3"/>
        <v>5.2493438320209973E-2</v>
      </c>
      <c r="G9" s="9">
        <f t="shared" si="4"/>
        <v>201.06192982974676</v>
      </c>
      <c r="H9" s="10">
        <f t="shared" si="5"/>
        <v>2.0106192982974677E-4</v>
      </c>
      <c r="I9" s="8">
        <f t="shared" si="6"/>
        <v>0.31164661452933656</v>
      </c>
      <c r="J9" s="10">
        <f t="shared" si="7"/>
        <v>2.1642126008981706E-3</v>
      </c>
      <c r="K9" s="7">
        <f t="shared" si="8"/>
        <v>1.5802469135802468</v>
      </c>
      <c r="L9" s="7">
        <f t="shared" si="9"/>
        <v>1.0618769382716049</v>
      </c>
      <c r="M9" s="9">
        <f t="shared" si="10"/>
        <v>50.26548245743669</v>
      </c>
      <c r="N9" s="11" t="s">
        <v>25</v>
      </c>
    </row>
    <row r="10" spans="1:14" ht="25.5" customHeight="1" x14ac:dyDescent="0.25">
      <c r="A10" s="5">
        <v>20</v>
      </c>
      <c r="B10" s="5" t="s">
        <v>26</v>
      </c>
      <c r="C10" s="6">
        <f t="shared" si="0"/>
        <v>20</v>
      </c>
      <c r="D10" s="7">
        <f t="shared" si="1"/>
        <v>0.02</v>
      </c>
      <c r="E10" s="7">
        <f t="shared" si="2"/>
        <v>0.78740157480314965</v>
      </c>
      <c r="F10" s="8">
        <f t="shared" si="3"/>
        <v>6.5616797900262466E-2</v>
      </c>
      <c r="G10" s="9">
        <f t="shared" si="4"/>
        <v>314.15926535897933</v>
      </c>
      <c r="H10" s="10">
        <f t="shared" si="5"/>
        <v>3.1415926535897931E-4</v>
      </c>
      <c r="I10" s="8">
        <f t="shared" si="6"/>
        <v>0.4869478352020884</v>
      </c>
      <c r="J10" s="10">
        <f t="shared" si="7"/>
        <v>3.3815821889033918E-3</v>
      </c>
      <c r="K10" s="7">
        <f t="shared" si="8"/>
        <v>2.4691358024691357</v>
      </c>
      <c r="L10" s="7">
        <f t="shared" si="9"/>
        <v>1.6591827160493826</v>
      </c>
      <c r="M10" s="9">
        <f t="shared" si="10"/>
        <v>62.831853071795862</v>
      </c>
      <c r="N10" s="11" t="s">
        <v>27</v>
      </c>
    </row>
    <row r="11" spans="1:14" ht="25.5" customHeight="1" x14ac:dyDescent="0.25">
      <c r="A11" s="5">
        <v>22</v>
      </c>
      <c r="B11" s="5" t="s">
        <v>28</v>
      </c>
      <c r="C11" s="6">
        <f t="shared" si="0"/>
        <v>22</v>
      </c>
      <c r="D11" s="7">
        <f t="shared" si="1"/>
        <v>2.1999999999999999E-2</v>
      </c>
      <c r="E11" s="7">
        <f t="shared" si="2"/>
        <v>0.86614173228346458</v>
      </c>
      <c r="F11" s="8">
        <f t="shared" si="3"/>
        <v>7.217847769028872E-2</v>
      </c>
      <c r="G11" s="9">
        <f t="shared" si="4"/>
        <v>380.13271108436498</v>
      </c>
      <c r="H11" s="10">
        <f t="shared" si="5"/>
        <v>3.8013271108436499E-4</v>
      </c>
      <c r="I11" s="8">
        <f t="shared" si="6"/>
        <v>0.58920688059452697</v>
      </c>
      <c r="J11" s="10">
        <f t="shared" si="7"/>
        <v>4.0917144485731038E-3</v>
      </c>
      <c r="K11" s="7">
        <f t="shared" si="8"/>
        <v>2.9876543209876543</v>
      </c>
      <c r="L11" s="7">
        <f t="shared" si="9"/>
        <v>2.0076110864197529</v>
      </c>
      <c r="M11" s="9">
        <f t="shared" si="10"/>
        <v>69.115038378975441</v>
      </c>
      <c r="N11" s="11" t="s">
        <v>29</v>
      </c>
    </row>
    <row r="12" spans="1:14" ht="25.5" customHeight="1" x14ac:dyDescent="0.25">
      <c r="A12" s="5">
        <v>25</v>
      </c>
      <c r="B12" s="5" t="s">
        <v>30</v>
      </c>
      <c r="C12" s="6">
        <f t="shared" si="0"/>
        <v>25</v>
      </c>
      <c r="D12" s="7">
        <f t="shared" si="1"/>
        <v>2.5000000000000001E-2</v>
      </c>
      <c r="E12" s="7">
        <f t="shared" si="2"/>
        <v>0.98425196850393704</v>
      </c>
      <c r="F12" s="8">
        <f t="shared" si="3"/>
        <v>8.2020997375328086E-2</v>
      </c>
      <c r="G12" s="9">
        <f t="shared" si="4"/>
        <v>490.87385212340519</v>
      </c>
      <c r="H12" s="10">
        <f t="shared" si="5"/>
        <v>4.9087385212340522E-4</v>
      </c>
      <c r="I12" s="8">
        <f t="shared" si="6"/>
        <v>0.76085599250326308</v>
      </c>
      <c r="J12" s="10">
        <f t="shared" si="7"/>
        <v>5.2837221701615492E-3</v>
      </c>
      <c r="K12" s="7">
        <f t="shared" si="8"/>
        <v>3.8580246913580245</v>
      </c>
      <c r="L12" s="7">
        <f t="shared" si="9"/>
        <v>2.5924729938271605</v>
      </c>
      <c r="M12" s="9">
        <f t="shared" si="10"/>
        <v>78.539816339744831</v>
      </c>
      <c r="N12" s="11" t="s">
        <v>31</v>
      </c>
    </row>
    <row r="13" spans="1:14" ht="25.5" customHeight="1" x14ac:dyDescent="0.25">
      <c r="A13" s="5">
        <v>28</v>
      </c>
      <c r="B13" s="5" t="s">
        <v>32</v>
      </c>
      <c r="C13" s="6">
        <f t="shared" si="0"/>
        <v>28</v>
      </c>
      <c r="D13" s="7">
        <f t="shared" si="1"/>
        <v>2.8000000000000001E-2</v>
      </c>
      <c r="E13" s="7">
        <f t="shared" si="2"/>
        <v>1.1023622047244095</v>
      </c>
      <c r="F13" s="8">
        <f t="shared" si="3"/>
        <v>9.1863517060367453E-2</v>
      </c>
      <c r="G13" s="9">
        <f t="shared" si="4"/>
        <v>615.75216010359941</v>
      </c>
      <c r="H13" s="10">
        <f t="shared" si="5"/>
        <v>6.1575216010359944E-4</v>
      </c>
      <c r="I13" s="8">
        <f t="shared" si="6"/>
        <v>0.9544177569960931</v>
      </c>
      <c r="J13" s="10">
        <f t="shared" si="7"/>
        <v>6.6279010902506466E-3</v>
      </c>
      <c r="K13" s="7">
        <f t="shared" si="8"/>
        <v>4.8395061728395063</v>
      </c>
      <c r="L13" s="7">
        <f t="shared" si="9"/>
        <v>3.2519981234567905</v>
      </c>
      <c r="M13" s="9">
        <f t="shared" si="10"/>
        <v>87.964594300514207</v>
      </c>
      <c r="N13" s="11" t="s">
        <v>33</v>
      </c>
    </row>
    <row r="14" spans="1:14" ht="25.5" customHeight="1" x14ac:dyDescent="0.25">
      <c r="A14" s="5">
        <v>32</v>
      </c>
      <c r="B14" s="5" t="s">
        <v>34</v>
      </c>
      <c r="C14" s="6">
        <f t="shared" si="0"/>
        <v>32</v>
      </c>
      <c r="D14" s="7">
        <f t="shared" si="1"/>
        <v>3.2000000000000001E-2</v>
      </c>
      <c r="E14" s="7">
        <f t="shared" si="2"/>
        <v>1.2598425196850394</v>
      </c>
      <c r="F14" s="8">
        <f t="shared" si="3"/>
        <v>0.10498687664041995</v>
      </c>
      <c r="G14" s="9">
        <f t="shared" si="4"/>
        <v>804.24771931898704</v>
      </c>
      <c r="H14" s="10">
        <f t="shared" si="5"/>
        <v>8.0424771931898709E-4</v>
      </c>
      <c r="I14" s="8">
        <f t="shared" si="6"/>
        <v>1.2465864581173463</v>
      </c>
      <c r="J14" s="10">
        <f t="shared" si="7"/>
        <v>8.6568504035926825E-3</v>
      </c>
      <c r="K14" s="7">
        <f t="shared" si="8"/>
        <v>6.3209876543209873</v>
      </c>
      <c r="L14" s="7">
        <f t="shared" si="9"/>
        <v>4.2475077530864196</v>
      </c>
      <c r="M14" s="9">
        <f t="shared" si="10"/>
        <v>100.53096491487338</v>
      </c>
      <c r="N14" s="11" t="s">
        <v>35</v>
      </c>
    </row>
    <row r="15" spans="1:14" ht="25.5" customHeight="1" x14ac:dyDescent="0.25">
      <c r="A15" s="5">
        <v>36</v>
      </c>
      <c r="B15" s="5" t="s">
        <v>36</v>
      </c>
      <c r="C15" s="6">
        <f t="shared" si="0"/>
        <v>36</v>
      </c>
      <c r="D15" s="7">
        <f t="shared" si="1"/>
        <v>3.5999999999999997E-2</v>
      </c>
      <c r="E15" s="7">
        <f t="shared" si="2"/>
        <v>1.4173228346456694</v>
      </c>
      <c r="F15" s="8">
        <f t="shared" si="3"/>
        <v>0.11811023622047245</v>
      </c>
      <c r="G15" s="9">
        <f t="shared" si="4"/>
        <v>1017.8760197630929</v>
      </c>
      <c r="H15" s="10">
        <f t="shared" si="5"/>
        <v>1.0178760197630929E-3</v>
      </c>
      <c r="I15" s="8">
        <f t="shared" si="6"/>
        <v>1.5777109860547662</v>
      </c>
      <c r="J15" s="10">
        <f t="shared" si="7"/>
        <v>1.0956326292046988E-2</v>
      </c>
      <c r="K15" s="7">
        <f t="shared" si="8"/>
        <v>8</v>
      </c>
      <c r="L15" s="7">
        <f t="shared" si="9"/>
        <v>5.3757520000000003</v>
      </c>
      <c r="M15" s="9">
        <f t="shared" si="10"/>
        <v>113.09733552923255</v>
      </c>
      <c r="N15" s="11" t="s">
        <v>37</v>
      </c>
    </row>
    <row r="16" spans="1:14" ht="25.5" customHeight="1" x14ac:dyDescent="0.25">
      <c r="A16" s="5">
        <v>40</v>
      </c>
      <c r="B16" s="5" t="s">
        <v>38</v>
      </c>
      <c r="C16" s="6">
        <f t="shared" si="0"/>
        <v>40</v>
      </c>
      <c r="D16" s="7">
        <f t="shared" si="1"/>
        <v>0.04</v>
      </c>
      <c r="E16" s="7">
        <f t="shared" si="2"/>
        <v>1.5748031496062993</v>
      </c>
      <c r="F16" s="8">
        <f t="shared" si="3"/>
        <v>0.13123359580052493</v>
      </c>
      <c r="G16" s="9">
        <f t="shared" si="4"/>
        <v>1256.6370614359173</v>
      </c>
      <c r="H16" s="10">
        <f t="shared" si="5"/>
        <v>1.2566370614359172E-3</v>
      </c>
      <c r="I16" s="8">
        <f t="shared" si="6"/>
        <v>1.9477913408083536</v>
      </c>
      <c r="J16" s="10">
        <f t="shared" si="7"/>
        <v>1.3526328755613567E-2</v>
      </c>
      <c r="K16" s="7">
        <f t="shared" si="8"/>
        <v>9.8765432098765427</v>
      </c>
      <c r="L16" s="7">
        <f t="shared" si="9"/>
        <v>6.6367308641975304</v>
      </c>
      <c r="M16" s="9">
        <f t="shared" si="10"/>
        <v>125.66370614359172</v>
      </c>
      <c r="N16" s="11" t="s">
        <v>39</v>
      </c>
    </row>
    <row r="18" spans="1:14" x14ac:dyDescent="0.25">
      <c r="A18" s="12" t="s">
        <v>40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spans="1:14" ht="15" customHeight="1" x14ac:dyDescent="0.25">
      <c r="A19" s="13" t="s">
        <v>41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 ht="15" customHeight="1" x14ac:dyDescent="0.25">
      <c r="A20" s="13" t="s">
        <v>42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 ht="15" customHeight="1" x14ac:dyDescent="0.25">
      <c r="A21" s="13" t="s">
        <v>43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 ht="15" customHeight="1" x14ac:dyDescent="0.25">
      <c r="A22" s="13" t="s">
        <v>44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4" ht="15" customHeight="1" x14ac:dyDescent="0.25">
      <c r="A23" s="13" t="s">
        <v>45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4" ht="15" customHeight="1" x14ac:dyDescent="0.25">
      <c r="A24" s="13" t="s">
        <v>46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</sheetData>
  <mergeCells count="9">
    <mergeCell ref="A21:N21"/>
    <mergeCell ref="A22:N22"/>
    <mergeCell ref="A23:N23"/>
    <mergeCell ref="A24:N24"/>
    <mergeCell ref="A1:N1"/>
    <mergeCell ref="A2:N2"/>
    <mergeCell ref="A18:N18"/>
    <mergeCell ref="A19:N19"/>
    <mergeCell ref="A20:N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Rebar Sizes (Pakistan)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Tufail Mabood</cp:lastModifiedBy>
  <cp:revision>0</cp:revision>
  <dcterms:created xsi:type="dcterms:W3CDTF">2026-09-02T12:03:30Z</dcterms:created>
  <dcterms:modified xsi:type="dcterms:W3CDTF">2026-09-02T12:13:58Z</dcterms:modified>
  <dc:language>en-US</dc:language>
</cp:coreProperties>
</file>