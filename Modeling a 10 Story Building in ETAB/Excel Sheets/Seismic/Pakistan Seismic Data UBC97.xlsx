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ufail Mabood\Desktop\ETABS-Grasshopper\Modeling a 10 Story Building in ETAB\Modeling a 10 Story Building in ETAB\Excel Sheets\Seismic\"/>
    </mc:Choice>
  </mc:AlternateContent>
  <xr:revisionPtr revIDLastSave="0" documentId="13_ncr:1_{0DE03F89-3097-4A9B-895B-8423CF42CEB8}" xr6:coauthVersionLast="47" xr6:coauthVersionMax="47" xr10:uidLastSave="{00000000-0000-0000-0000-000000000000}"/>
  <bookViews>
    <workbookView xWindow="-120" yWindow="-120" windowWidth="20730" windowHeight="11310" tabRatio="500" firstSheet="2" activeTab="3" xr2:uid="{00000000-000D-0000-FFFF-FFFF00000000}"/>
  </bookViews>
  <sheets>
    <sheet name="Read Me" sheetId="1" r:id="rId1"/>
    <sheet name="District Seismic Zones" sheetId="2" r:id="rId2"/>
    <sheet name="UBC-97 Parameters" sheetId="3" r:id="rId3"/>
    <sheet name="ASCE 7 Approx. Parameters" sheetId="4" r:id="rId4"/>
  </sheets>
  <definedNames>
    <definedName name="_xlnm._FilterDatabase" localSheetId="1" hidden="1">'District Seismic Zones'!$A$3:$G$159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9" i="2" l="1"/>
  <c r="D159" i="2"/>
  <c r="G159" i="2" s="1"/>
  <c r="E158" i="2"/>
  <c r="D158" i="2"/>
  <c r="E157" i="2"/>
  <c r="D157" i="2"/>
  <c r="E156" i="2"/>
  <c r="D156" i="2"/>
  <c r="E155" i="2"/>
  <c r="D155" i="2"/>
  <c r="E154" i="2"/>
  <c r="D154" i="2"/>
  <c r="E153" i="2"/>
  <c r="D153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G81" i="2" s="1"/>
  <c r="F80" i="2"/>
  <c r="E80" i="2"/>
  <c r="D80" i="2"/>
  <c r="G80" i="2" s="1"/>
  <c r="F79" i="2"/>
  <c r="E79" i="2"/>
  <c r="D79" i="2"/>
  <c r="G79" i="2" s="1"/>
  <c r="E78" i="2"/>
  <c r="D78" i="2"/>
  <c r="E77" i="2"/>
  <c r="D77" i="2"/>
  <c r="G77" i="2" s="1"/>
  <c r="F76" i="2"/>
  <c r="E76" i="2"/>
  <c r="D76" i="2"/>
  <c r="G76" i="2" s="1"/>
  <c r="F75" i="2"/>
  <c r="E75" i="2"/>
  <c r="D75" i="2"/>
  <c r="G75" i="2" s="1"/>
  <c r="G74" i="2"/>
  <c r="F74" i="2"/>
  <c r="E74" i="2"/>
  <c r="D74" i="2"/>
  <c r="G73" i="2"/>
  <c r="F73" i="2"/>
  <c r="E73" i="2"/>
  <c r="D73" i="2"/>
  <c r="G72" i="2"/>
  <c r="F72" i="2"/>
  <c r="E72" i="2"/>
  <c r="D72" i="2"/>
  <c r="G71" i="2"/>
  <c r="F71" i="2"/>
  <c r="E71" i="2"/>
  <c r="D71" i="2"/>
  <c r="G70" i="2"/>
  <c r="F70" i="2"/>
  <c r="E70" i="2"/>
  <c r="D70" i="2"/>
  <c r="G69" i="2"/>
  <c r="F69" i="2"/>
  <c r="E69" i="2"/>
  <c r="D69" i="2"/>
  <c r="G68" i="2"/>
  <c r="F68" i="2"/>
  <c r="E68" i="2"/>
  <c r="D68" i="2"/>
  <c r="F67" i="2"/>
  <c r="E67" i="2"/>
  <c r="D67" i="2"/>
  <c r="G67" i="2" s="1"/>
  <c r="E66" i="2"/>
  <c r="D66" i="2"/>
  <c r="G66" i="2" s="1"/>
  <c r="F65" i="2"/>
  <c r="E65" i="2"/>
  <c r="D65" i="2"/>
  <c r="G65" i="2" s="1"/>
  <c r="E64" i="2"/>
  <c r="D64" i="2"/>
  <c r="G64" i="2" s="1"/>
  <c r="E63" i="2"/>
  <c r="D63" i="2"/>
  <c r="G63" i="2" s="1"/>
  <c r="E62" i="2"/>
  <c r="D62" i="2"/>
  <c r="G62" i="2" s="1"/>
  <c r="E61" i="2"/>
  <c r="D61" i="2"/>
  <c r="G61" i="2" s="1"/>
  <c r="E60" i="2"/>
  <c r="D60" i="2"/>
  <c r="G60" i="2" s="1"/>
  <c r="E59" i="2"/>
  <c r="D59" i="2"/>
  <c r="G59" i="2" s="1"/>
  <c r="E58" i="2"/>
  <c r="D58" i="2"/>
  <c r="G58" i="2" s="1"/>
  <c r="E57" i="2"/>
  <c r="D57" i="2"/>
  <c r="G57" i="2" s="1"/>
  <c r="E56" i="2"/>
  <c r="D56" i="2"/>
  <c r="G56" i="2" s="1"/>
  <c r="E55" i="2"/>
  <c r="D55" i="2"/>
  <c r="G55" i="2" s="1"/>
  <c r="E54" i="2"/>
  <c r="D54" i="2"/>
  <c r="G54" i="2" s="1"/>
  <c r="E53" i="2"/>
  <c r="D53" i="2"/>
  <c r="G53" i="2" s="1"/>
  <c r="E52" i="2"/>
  <c r="D52" i="2"/>
  <c r="G52" i="2" s="1"/>
  <c r="E51" i="2"/>
  <c r="D51" i="2"/>
  <c r="G51" i="2" s="1"/>
  <c r="E50" i="2"/>
  <c r="D50" i="2"/>
  <c r="G50" i="2" s="1"/>
  <c r="E49" i="2"/>
  <c r="D49" i="2"/>
  <c r="G49" i="2" s="1"/>
  <c r="E48" i="2"/>
  <c r="D48" i="2"/>
  <c r="G48" i="2" s="1"/>
  <c r="E47" i="2"/>
  <c r="D47" i="2"/>
  <c r="G47" i="2" s="1"/>
  <c r="E46" i="2"/>
  <c r="D46" i="2"/>
  <c r="G46" i="2" s="1"/>
  <c r="E45" i="2"/>
  <c r="D45" i="2"/>
  <c r="G45" i="2" s="1"/>
  <c r="E44" i="2"/>
  <c r="D44" i="2"/>
  <c r="G44" i="2" s="1"/>
  <c r="E43" i="2"/>
  <c r="D43" i="2"/>
  <c r="G43" i="2" s="1"/>
  <c r="E42" i="2"/>
  <c r="D42" i="2"/>
  <c r="G42" i="2" s="1"/>
  <c r="E41" i="2"/>
  <c r="D41" i="2"/>
  <c r="G41" i="2" s="1"/>
  <c r="E40" i="2"/>
  <c r="D40" i="2"/>
  <c r="G40" i="2" s="1"/>
  <c r="E39" i="2"/>
  <c r="D39" i="2"/>
  <c r="G39" i="2" s="1"/>
  <c r="E38" i="2"/>
  <c r="D38" i="2"/>
  <c r="G38" i="2" s="1"/>
  <c r="E37" i="2"/>
  <c r="D37" i="2"/>
  <c r="G37" i="2" s="1"/>
  <c r="E36" i="2"/>
  <c r="D36" i="2"/>
  <c r="G36" i="2" s="1"/>
  <c r="E35" i="2"/>
  <c r="D35" i="2"/>
  <c r="G35" i="2" s="1"/>
  <c r="E34" i="2"/>
  <c r="D34" i="2"/>
  <c r="G34" i="2" s="1"/>
  <c r="E33" i="2"/>
  <c r="D33" i="2"/>
  <c r="G33" i="2" s="1"/>
  <c r="E32" i="2"/>
  <c r="D32" i="2"/>
  <c r="G32" i="2" s="1"/>
  <c r="E31" i="2"/>
  <c r="D31" i="2"/>
  <c r="G31" i="2" s="1"/>
  <c r="E30" i="2"/>
  <c r="D30" i="2"/>
  <c r="G30" i="2" s="1"/>
  <c r="E29" i="2"/>
  <c r="D29" i="2"/>
  <c r="G29" i="2" s="1"/>
  <c r="E28" i="2"/>
  <c r="D28" i="2"/>
  <c r="G28" i="2" s="1"/>
  <c r="E27" i="2"/>
  <c r="D27" i="2"/>
  <c r="G27" i="2" s="1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G6" i="2" l="1"/>
  <c r="F6" i="2"/>
  <c r="G10" i="2"/>
  <c r="F10" i="2"/>
  <c r="G14" i="2"/>
  <c r="F14" i="2"/>
  <c r="G18" i="2"/>
  <c r="F18" i="2"/>
  <c r="G22" i="2"/>
  <c r="F22" i="2"/>
  <c r="G26" i="2"/>
  <c r="F26" i="2"/>
  <c r="G84" i="2"/>
  <c r="F84" i="2"/>
  <c r="G88" i="2"/>
  <c r="F88" i="2"/>
  <c r="G92" i="2"/>
  <c r="F92" i="2"/>
  <c r="G94" i="2"/>
  <c r="F94" i="2"/>
  <c r="G5" i="2"/>
  <c r="F5" i="2"/>
  <c r="G7" i="2"/>
  <c r="F7" i="2"/>
  <c r="G9" i="2"/>
  <c r="F9" i="2"/>
  <c r="G11" i="2"/>
  <c r="F11" i="2"/>
  <c r="G13" i="2"/>
  <c r="F13" i="2"/>
  <c r="G15" i="2"/>
  <c r="F15" i="2"/>
  <c r="G17" i="2"/>
  <c r="F17" i="2"/>
  <c r="G19" i="2"/>
  <c r="F19" i="2"/>
  <c r="G21" i="2"/>
  <c r="F21" i="2"/>
  <c r="G23" i="2"/>
  <c r="F23" i="2"/>
  <c r="G25" i="2"/>
  <c r="F25" i="2"/>
  <c r="G78" i="2"/>
  <c r="F78" i="2"/>
  <c r="G4" i="2"/>
  <c r="F4" i="2"/>
  <c r="G8" i="2"/>
  <c r="F8" i="2"/>
  <c r="G12" i="2"/>
  <c r="F12" i="2"/>
  <c r="G16" i="2"/>
  <c r="F16" i="2"/>
  <c r="G20" i="2"/>
  <c r="F20" i="2"/>
  <c r="G24" i="2"/>
  <c r="F24" i="2"/>
  <c r="G82" i="2"/>
  <c r="F82" i="2"/>
  <c r="G86" i="2"/>
  <c r="F86" i="2"/>
  <c r="G90" i="2"/>
  <c r="F90" i="2"/>
  <c r="G96" i="2"/>
  <c r="F96" i="2"/>
  <c r="G98" i="2"/>
  <c r="F98" i="2"/>
  <c r="G102" i="2"/>
  <c r="F102" i="2"/>
  <c r="G106" i="2"/>
  <c r="F106" i="2"/>
  <c r="G110" i="2"/>
  <c r="F110" i="2"/>
  <c r="G114" i="2"/>
  <c r="F114" i="2"/>
  <c r="G118" i="2"/>
  <c r="F118" i="2"/>
  <c r="G122" i="2"/>
  <c r="F122" i="2"/>
  <c r="G128" i="2"/>
  <c r="F128" i="2"/>
  <c r="G132" i="2"/>
  <c r="F132" i="2"/>
  <c r="G136" i="2"/>
  <c r="F136" i="2"/>
  <c r="G140" i="2"/>
  <c r="F140" i="2"/>
  <c r="G144" i="2"/>
  <c r="F144" i="2"/>
  <c r="G148" i="2"/>
  <c r="F148" i="2"/>
  <c r="G152" i="2"/>
  <c r="F152" i="2"/>
  <c r="G154" i="2"/>
  <c r="F154" i="2"/>
  <c r="G156" i="2"/>
  <c r="F15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6" i="2"/>
  <c r="G100" i="2"/>
  <c r="F100" i="2"/>
  <c r="G104" i="2"/>
  <c r="F104" i="2"/>
  <c r="G108" i="2"/>
  <c r="F108" i="2"/>
  <c r="G112" i="2"/>
  <c r="F112" i="2"/>
  <c r="G116" i="2"/>
  <c r="F116" i="2"/>
  <c r="G120" i="2"/>
  <c r="F120" i="2"/>
  <c r="G124" i="2"/>
  <c r="F124" i="2"/>
  <c r="G126" i="2"/>
  <c r="F126" i="2"/>
  <c r="G130" i="2"/>
  <c r="F130" i="2"/>
  <c r="G134" i="2"/>
  <c r="F134" i="2"/>
  <c r="G138" i="2"/>
  <c r="F138" i="2"/>
  <c r="G142" i="2"/>
  <c r="F142" i="2"/>
  <c r="G146" i="2"/>
  <c r="F146" i="2"/>
  <c r="G150" i="2"/>
  <c r="F150" i="2"/>
  <c r="G158" i="2"/>
  <c r="F158" i="2"/>
  <c r="G83" i="2"/>
  <c r="F83" i="2"/>
  <c r="G85" i="2"/>
  <c r="F85" i="2"/>
  <c r="G87" i="2"/>
  <c r="F87" i="2"/>
  <c r="G89" i="2"/>
  <c r="F89" i="2"/>
  <c r="G91" i="2"/>
  <c r="F91" i="2"/>
  <c r="G93" i="2"/>
  <c r="F93" i="2"/>
  <c r="G95" i="2"/>
  <c r="F95" i="2"/>
  <c r="G97" i="2"/>
  <c r="F97" i="2"/>
  <c r="G99" i="2"/>
  <c r="F99" i="2"/>
  <c r="G101" i="2"/>
  <c r="F101" i="2"/>
  <c r="G103" i="2"/>
  <c r="F103" i="2"/>
  <c r="G105" i="2"/>
  <c r="F105" i="2"/>
  <c r="G107" i="2"/>
  <c r="F107" i="2"/>
  <c r="G109" i="2"/>
  <c r="F109" i="2"/>
  <c r="G111" i="2"/>
  <c r="F111" i="2"/>
  <c r="G113" i="2"/>
  <c r="F113" i="2"/>
  <c r="G115" i="2"/>
  <c r="F115" i="2"/>
  <c r="G117" i="2"/>
  <c r="F117" i="2"/>
  <c r="G119" i="2"/>
  <c r="F119" i="2"/>
  <c r="G121" i="2"/>
  <c r="F121" i="2"/>
  <c r="G123" i="2"/>
  <c r="F123" i="2"/>
  <c r="G125" i="2"/>
  <c r="F125" i="2"/>
  <c r="G127" i="2"/>
  <c r="F127" i="2"/>
  <c r="G129" i="2"/>
  <c r="F129" i="2"/>
  <c r="G131" i="2"/>
  <c r="F131" i="2"/>
  <c r="G133" i="2"/>
  <c r="F133" i="2"/>
  <c r="G135" i="2"/>
  <c r="F135" i="2"/>
  <c r="G137" i="2"/>
  <c r="F137" i="2"/>
  <c r="G139" i="2"/>
  <c r="F139" i="2"/>
  <c r="G141" i="2"/>
  <c r="F141" i="2"/>
  <c r="G143" i="2"/>
  <c r="F143" i="2"/>
  <c r="G145" i="2"/>
  <c r="F145" i="2"/>
  <c r="G147" i="2"/>
  <c r="F147" i="2"/>
  <c r="G149" i="2"/>
  <c r="F149" i="2"/>
  <c r="G151" i="2"/>
  <c r="F151" i="2"/>
  <c r="G153" i="2"/>
  <c r="F153" i="2"/>
  <c r="G155" i="2"/>
  <c r="F155" i="2"/>
  <c r="G157" i="2"/>
  <c r="F157" i="2"/>
  <c r="F77" i="2"/>
  <c r="F81" i="2"/>
  <c r="F15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100-000001000000}">
      <text>
        <r>
          <rPr>
            <sz val="10"/>
            <rFont val="Arial"/>
            <family val="2"/>
          </rPr>
          <t>Murree tehsil within this district is Zone 3 — verify for hill-station sites</t>
        </r>
      </text>
    </comment>
    <comment ref="B34" authorId="0" shapeId="0" xr:uid="{00000000-0006-0000-0100-000002000000}">
      <text>
        <r>
          <rPr>
            <sz val="10"/>
            <rFont val="Arial"/>
            <family val="2"/>
          </rPr>
          <t>Western hill tehsils of this district are Zone 2B</t>
        </r>
      </text>
    </comment>
    <comment ref="B36" authorId="0" shapeId="0" xr:uid="{00000000-0006-0000-0100-000003000000}">
      <text>
        <r>
          <rPr>
            <sz val="10"/>
            <rFont val="Arial"/>
            <family val="2"/>
          </rPr>
          <t>De-excluded area of Rajanpur is Zone 2B</t>
        </r>
      </text>
    </comment>
    <comment ref="B45" authorId="0" shapeId="0" xr:uid="{00000000-0006-0000-0100-000004000000}">
      <text>
        <r>
          <rPr>
            <sz val="10"/>
            <rFont val="Arial"/>
            <family val="2"/>
          </rPr>
          <t>New district carved from Karachi East, same zone</t>
        </r>
      </text>
    </comment>
    <comment ref="B46" authorId="0" shapeId="0" xr:uid="{00000000-0006-0000-0100-000005000000}">
      <text>
        <r>
          <rPr>
            <sz val="10"/>
            <rFont val="Arial"/>
            <family val="2"/>
          </rPr>
          <t>New district carved from Karachi West, same zone</t>
        </r>
      </text>
    </comment>
    <comment ref="B57" authorId="0" shapeId="0" xr:uid="{00000000-0006-0000-0100-000006000000}">
      <text>
        <r>
          <rPr>
            <sz val="10"/>
            <rFont val="Arial"/>
            <family val="2"/>
          </rPr>
          <t>Ranges 2A (Chachro) to 3 (Diplo); Mithi HQ = 2B</t>
        </r>
      </text>
    </comment>
    <comment ref="B93" authorId="0" shapeId="0" xr:uid="{00000000-0006-0000-0100-000007000000}">
      <text>
        <r>
          <rPr>
            <sz val="10"/>
            <rFont val="Arial"/>
            <family val="2"/>
          </rPr>
          <t>Landi Kotal tehsil within this district is Zone 3</t>
        </r>
      </text>
    </comment>
  </commentList>
</comments>
</file>

<file path=xl/sharedStrings.xml><?xml version="1.0" encoding="utf-8"?>
<sst xmlns="http://schemas.openxmlformats.org/spreadsheetml/2006/main" count="666" uniqueCount="313">
  <si>
    <t>Pakistan Seismic Design Data — UBC-97 / BCP-2007 (with ASCE 7 reference)</t>
  </si>
  <si>
    <t>1. WHAT THIS WORKBOOK IS</t>
  </si>
  <si>
    <t>Pakistan does not use ASCE 7 as its legal seismic code. The governing code is the Building Code of Pakistan – Seismic Provisions 2007 (BCP-SP 2007), which adopted the UBC-97 seismic design framework (zone factor Z, soil profile types, Ca/Cv coefficients, base-shear formula). There is no official Ss/S1 (MCE spectral acceleration) map published for Pakistan by a body equivalent to the USGS, so ASCE 7 parameters for Pakistani sites are not a code-defined quantity — any Ss/S1 you use is an engineering approximation, not a code value. This workbook gives you (a) the real, code-based UBC-97/BCP-2007 data you can use directly, and (b) a clearly-labelled APPROXIMATE conversion to ASCE-7-style parameters, for offices that must model in ETABS using the ASCE 7 load pattern.</t>
  </si>
  <si>
    <t>2. HOW TO USE THE SHEETS</t>
  </si>
  <si>
    <t>3. IMPORTANT LIMITATIONS — PLEASE READ</t>
  </si>
  <si>
    <t>District-Wise Seismic Zone (BCP-SP 2007 / UBC-97) — for ETABS Seismic Load Definition</t>
  </si>
  <si>
    <t>Province / Region</t>
  </si>
  <si>
    <t>District</t>
  </si>
  <si>
    <t>UBC-97 / BCP-2007
Seismic Zone</t>
  </si>
  <si>
    <t>Zone Factor
Z (g)</t>
  </si>
  <si>
    <t>PGA Range
(g)</t>
  </si>
  <si>
    <t>Approx. ASCE-7-style
Ss (g)  [≈2.5·Z, NOT official]</t>
  </si>
  <si>
    <t>Approx. ASCE-7-style
S1 (g)  [≈1.0·Z, NOT official]</t>
  </si>
  <si>
    <t>Punjab</t>
  </si>
  <si>
    <t>Attock</t>
  </si>
  <si>
    <t>2B</t>
  </si>
  <si>
    <t>Rawalpindi</t>
  </si>
  <si>
    <t>Jhelum</t>
  </si>
  <si>
    <t>Chakwal</t>
  </si>
  <si>
    <t>Gujrat</t>
  </si>
  <si>
    <t>Sialkot</t>
  </si>
  <si>
    <t>Narowal</t>
  </si>
  <si>
    <t>Gujranwala</t>
  </si>
  <si>
    <t>2A</t>
  </si>
  <si>
    <t>Hafizabad</t>
  </si>
  <si>
    <t>Mandi Bahauddin</t>
  </si>
  <si>
    <t>Sheikhupura</t>
  </si>
  <si>
    <t>Nankana Sahib</t>
  </si>
  <si>
    <t>Lahore</t>
  </si>
  <si>
    <t>Kasur</t>
  </si>
  <si>
    <t>Okara</t>
  </si>
  <si>
    <t>Sahiwal</t>
  </si>
  <si>
    <t>Pakpattan</t>
  </si>
  <si>
    <t>Faisalabad</t>
  </si>
  <si>
    <t>Jhang</t>
  </si>
  <si>
    <t>Chiniot</t>
  </si>
  <si>
    <t>Toba Tek Singh</t>
  </si>
  <si>
    <t>Sargodha</t>
  </si>
  <si>
    <t>Khushab</t>
  </si>
  <si>
    <t>Mianwali</t>
  </si>
  <si>
    <t>Bhakkar</t>
  </si>
  <si>
    <t>Multan</t>
  </si>
  <si>
    <t>Khanewal</t>
  </si>
  <si>
    <t>Lodhran</t>
  </si>
  <si>
    <t>Vehari</t>
  </si>
  <si>
    <t>Muzaffargarh</t>
  </si>
  <si>
    <t>Dera Ghazi Khan</t>
  </si>
  <si>
    <t>Layyah</t>
  </si>
  <si>
    <t>Rajanpur</t>
  </si>
  <si>
    <t>Bahawalpur</t>
  </si>
  <si>
    <t>Bahawalnagar</t>
  </si>
  <si>
    <t>Rahim Yar Khan</t>
  </si>
  <si>
    <t>Sindh</t>
  </si>
  <si>
    <t>Karachi Central</t>
  </si>
  <si>
    <t>Karachi East</t>
  </si>
  <si>
    <t>Karachi West</t>
  </si>
  <si>
    <t>Karachi South</t>
  </si>
  <si>
    <t>Malir</t>
  </si>
  <si>
    <t>Korangi</t>
  </si>
  <si>
    <t>Keamari</t>
  </si>
  <si>
    <t>Hyderabad</t>
  </si>
  <si>
    <t>Tando Allahyar</t>
  </si>
  <si>
    <t>Tando Muhammad Khan</t>
  </si>
  <si>
    <t>Matiari</t>
  </si>
  <si>
    <t>Jamshoro</t>
  </si>
  <si>
    <t>Thatta</t>
  </si>
  <si>
    <t>Sujawal</t>
  </si>
  <si>
    <t>Badin</t>
  </si>
  <si>
    <t>Mirpurkhas</t>
  </si>
  <si>
    <t>Umerkot</t>
  </si>
  <si>
    <t>Tharparkar</t>
  </si>
  <si>
    <t>Sanghar</t>
  </si>
  <si>
    <t>Shaheed Benazirabad (Nawabshah)</t>
  </si>
  <si>
    <t>Naushahro Feroze</t>
  </si>
  <si>
    <t>Khairpur</t>
  </si>
  <si>
    <t>Sukkur</t>
  </si>
  <si>
    <t>Ghotki</t>
  </si>
  <si>
    <t>Jacobabad</t>
  </si>
  <si>
    <t>Kashmore</t>
  </si>
  <si>
    <t>Larkana</t>
  </si>
  <si>
    <t>Qambar Shahdadkot</t>
  </si>
  <si>
    <t>Shikarpur</t>
  </si>
  <si>
    <t>Dadu</t>
  </si>
  <si>
    <t>Khyber Pakhtunkhwa</t>
  </si>
  <si>
    <t>Chitral Lower</t>
  </si>
  <si>
    <t>4</t>
  </si>
  <si>
    <t>Chitral Upper</t>
  </si>
  <si>
    <t>Dir Lower</t>
  </si>
  <si>
    <t>3</t>
  </si>
  <si>
    <t>Dir Upper</t>
  </si>
  <si>
    <t>Swat</t>
  </si>
  <si>
    <t>Shangla</t>
  </si>
  <si>
    <t>Buner</t>
  </si>
  <si>
    <t>Malakand</t>
  </si>
  <si>
    <t>Bajaur</t>
  </si>
  <si>
    <t>Mohmand</t>
  </si>
  <si>
    <t>Swabi</t>
  </si>
  <si>
    <t>Charsadda</t>
  </si>
  <si>
    <t>Peshawar</t>
  </si>
  <si>
    <t>Nowshera</t>
  </si>
  <si>
    <t>Kohat</t>
  </si>
  <si>
    <t>Karak</t>
  </si>
  <si>
    <t>Hangu</t>
  </si>
  <si>
    <t>Bannu</t>
  </si>
  <si>
    <t>Lakki Marwat</t>
  </si>
  <si>
    <t>Dera Ismail Khan</t>
  </si>
  <si>
    <t>Tank</t>
  </si>
  <si>
    <t>Kurram</t>
  </si>
  <si>
    <t>Orakzai</t>
  </si>
  <si>
    <t>Khyber</t>
  </si>
  <si>
    <t>North Waziristan</t>
  </si>
  <si>
    <t>South Waziristan</t>
  </si>
  <si>
    <t>Kohistan Upper</t>
  </si>
  <si>
    <t>Kohistan Lower</t>
  </si>
  <si>
    <t>Kolai Palas</t>
  </si>
  <si>
    <t>Battagram</t>
  </si>
  <si>
    <t>Mansehra</t>
  </si>
  <si>
    <t>Abbottabad</t>
  </si>
  <si>
    <t>Haripur</t>
  </si>
  <si>
    <t>Mardan</t>
  </si>
  <si>
    <t>Torghar</t>
  </si>
  <si>
    <t>Balochistan</t>
  </si>
  <si>
    <t>Quetta</t>
  </si>
  <si>
    <t>Pishin</t>
  </si>
  <si>
    <t>Killa Abdullah</t>
  </si>
  <si>
    <t>Chaman</t>
  </si>
  <si>
    <t>Qilla Saifullah</t>
  </si>
  <si>
    <t>Zhob</t>
  </si>
  <si>
    <t>Sherani</t>
  </si>
  <si>
    <t>Loralai</t>
  </si>
  <si>
    <t>Duki</t>
  </si>
  <si>
    <t>Musakhel</t>
  </si>
  <si>
    <t>Barkhan</t>
  </si>
  <si>
    <t>Kohlu</t>
  </si>
  <si>
    <t>Dera Bugti</t>
  </si>
  <si>
    <t>Sibi</t>
  </si>
  <si>
    <t>Ziarat</t>
  </si>
  <si>
    <t>Harnai</t>
  </si>
  <si>
    <t>Nasirabad</t>
  </si>
  <si>
    <t>Jafarabad</t>
  </si>
  <si>
    <t>Sohbatpur</t>
  </si>
  <si>
    <t>Usta Muhammad</t>
  </si>
  <si>
    <t>Jhal Magsi</t>
  </si>
  <si>
    <t>Bolan (Kachhi)</t>
  </si>
  <si>
    <t>Khuzdar</t>
  </si>
  <si>
    <t>Kalat</t>
  </si>
  <si>
    <t>Mastung</t>
  </si>
  <si>
    <t>Awaran</t>
  </si>
  <si>
    <t>Lasbela</t>
  </si>
  <si>
    <t>Kharan</t>
  </si>
  <si>
    <t>Washuk</t>
  </si>
  <si>
    <t>Chagai</t>
  </si>
  <si>
    <t>Nushki</t>
  </si>
  <si>
    <t>Panjgur</t>
  </si>
  <si>
    <t>Kech (Turbat)</t>
  </si>
  <si>
    <t>Gwadar</t>
  </si>
  <si>
    <t>Azad Jammu &amp; Kashmir</t>
  </si>
  <si>
    <t>Muzaffarabad</t>
  </si>
  <si>
    <t>Neelum</t>
  </si>
  <si>
    <t>Hattian Bala</t>
  </si>
  <si>
    <t>Bagh</t>
  </si>
  <si>
    <t>Haveli</t>
  </si>
  <si>
    <t>Sudhnoti (Palandri)</t>
  </si>
  <si>
    <t>Poonch (Rawalakot)</t>
  </si>
  <si>
    <t>Bhimber</t>
  </si>
  <si>
    <t>Mirpur</t>
  </si>
  <si>
    <t>Kotli</t>
  </si>
  <si>
    <t>Gilgit-Baltistan</t>
  </si>
  <si>
    <t>Gilgit</t>
  </si>
  <si>
    <t>Hunza</t>
  </si>
  <si>
    <t>Nagar</t>
  </si>
  <si>
    <t>Ghizer</t>
  </si>
  <si>
    <t>Skardu</t>
  </si>
  <si>
    <t>Shigar</t>
  </si>
  <si>
    <t>Kharmang</t>
  </si>
  <si>
    <t>Ghanche</t>
  </si>
  <si>
    <t>Astore</t>
  </si>
  <si>
    <t>Diamer (Chilas)</t>
  </si>
  <si>
    <t>Federal</t>
  </si>
  <si>
    <t>Islamabad Capital Territory</t>
  </si>
  <si>
    <t>Legend:</t>
  </si>
  <si>
    <t>Zone 1 (lowest hazard)</t>
  </si>
  <si>
    <t>Zone 2A</t>
  </si>
  <si>
    <t>Zone 2B</t>
  </si>
  <si>
    <t>Zone 3</t>
  </si>
  <si>
    <t>Zone 4 (highest hazard)</t>
  </si>
  <si>
    <t>UBC-97 Seismic Design Tables (as adopted by BCP-SP 2007)</t>
  </si>
  <si>
    <t>Table 16-I — Seismic Zone Factor Z</t>
  </si>
  <si>
    <t>Seismic Zone</t>
  </si>
  <si>
    <t>Z</t>
  </si>
  <si>
    <t>PGA range (g) used to define zone boundary</t>
  </si>
  <si>
    <t>1</t>
  </si>
  <si>
    <t>0.05 – 0.08</t>
  </si>
  <si>
    <t>0.08 – 0.16</t>
  </si>
  <si>
    <t>0.16 – 0.24</t>
  </si>
  <si>
    <t>0.24 – 0.32</t>
  </si>
  <si>
    <t>&gt; 0.32</t>
  </si>
  <si>
    <t>Table 16-J — Soil Profile Types (site-specific geotechnical determination required)</t>
  </si>
  <si>
    <t>Type</t>
  </si>
  <si>
    <t>Description</t>
  </si>
  <si>
    <t>Shear-wave velocity vs (m/s)</t>
  </si>
  <si>
    <t>SA</t>
  </si>
  <si>
    <t>Hard rock</t>
  </si>
  <si>
    <t>&gt; 1500</t>
  </si>
  <si>
    <t>SB</t>
  </si>
  <si>
    <t>Rock</t>
  </si>
  <si>
    <t>750 – 1500</t>
  </si>
  <si>
    <t>SC</t>
  </si>
  <si>
    <t>Very dense soil / soft rock</t>
  </si>
  <si>
    <t>350 – 750</t>
  </si>
  <si>
    <t>SD</t>
  </si>
  <si>
    <t>Stiff soil</t>
  </si>
  <si>
    <t>175 – 350</t>
  </si>
  <si>
    <t>SE</t>
  </si>
  <si>
    <t>Soft soil</t>
  </si>
  <si>
    <t>&lt; 175</t>
  </si>
  <si>
    <t>SF</t>
  </si>
  <si>
    <t>Soil requiring site-specific evaluation (e.g. liquefiable, sensitive, organic clays, peat, high-plasticity clay &gt; 25 ft, soft clay &gt; 120 ft)</t>
  </si>
  <si>
    <t>—</t>
  </si>
  <si>
    <t>Table 16-Q — Seismic Coefficient Ca</t>
  </si>
  <si>
    <t>Zone</t>
  </si>
  <si>
    <t>Note: Zone 4 values require Na (near-source factor); table shows Na=1.0 baseline — multiply by actual Na for Zone-4 sites near a mapped fault.</t>
  </si>
  <si>
    <t>Table 16-R — Seismic Coefficient Cv</t>
  </si>
  <si>
    <t>Note: Zone 4 values require Nv (near-source factor); table shows Nv=1.0 baseline — multiply by actual Nv for Zone-4 sites near a mapped fault.</t>
  </si>
  <si>
    <t>Table 16-K — Importance Factor I</t>
  </si>
  <si>
    <t>Occupancy Category</t>
  </si>
  <si>
    <t>I (Seismic)</t>
  </si>
  <si>
    <t>Ip (Component)</t>
  </si>
  <si>
    <t>Essential facilities (hospitals, fire/police stations, emergency response)</t>
  </si>
  <si>
    <t>Hazardous facilities (toxic/explosive substance storage)</t>
  </si>
  <si>
    <t>Special occupancy structures (schools, assembly &gt; 300 people, jails)</t>
  </si>
  <si>
    <t>Standard occupancy structures (all others)</t>
  </si>
  <si>
    <t>Table 16-N (abridged) — R and Omega0 by Structural System (most common ETABS building types)</t>
  </si>
  <si>
    <t>Structural System</t>
  </si>
  <si>
    <t>R</t>
  </si>
  <si>
    <t>Omega0</t>
  </si>
  <si>
    <t>Height limit Zone 3&amp;4 (ft)</t>
  </si>
  <si>
    <t>Special Moment-Resisting Frame (SMRF) — steel</t>
  </si>
  <si>
    <t>N.L.</t>
  </si>
  <si>
    <t>Special Moment-Resisting Frame (SMRF) — concrete</t>
  </si>
  <si>
    <t>Intermediate Moment-Resisting Frame (IMRF) — concrete</t>
  </si>
  <si>
    <t>Ordinary Moment-Resisting Frame (OMRF) — steel</t>
  </si>
  <si>
    <t>Ordinary Moment-Resisting Frame (OMRF) — concrete</t>
  </si>
  <si>
    <t>Not permitted</t>
  </si>
  <si>
    <t>Special Reinforced Concrete Shear Wall</t>
  </si>
  <si>
    <t>Building Frame System with Shear Wall (dual, non-special)</t>
  </si>
  <si>
    <t>Dual System — SMRF + Special Shear Wall</t>
  </si>
  <si>
    <t>Dual System — IMRF + Special Shear Wall (concrete)</t>
  </si>
  <si>
    <t>Bearing Wall System — Special RC shear wall</t>
  </si>
  <si>
    <t>Cantilevered Column Building System</t>
  </si>
  <si>
    <t>Table 16-S / 16-T — Near-Source Factors Na, Nv (Seismic Zone 4 ONLY)</t>
  </si>
  <si>
    <t>Seismic Source Type</t>
  </si>
  <si>
    <t>Distance to source ≤ 2 km</t>
  </si>
  <si>
    <t>5 km</t>
  </si>
  <si>
    <t>≥ 10 km</t>
  </si>
  <si>
    <t>15 km (Nv only)</t>
  </si>
  <si>
    <t>A (Na)</t>
  </si>
  <si>
    <t>B (Na)</t>
  </si>
  <si>
    <t>C (Na)</t>
  </si>
  <si>
    <t>A (Nv)</t>
  </si>
  <si>
    <t>B (Nv)</t>
  </si>
  <si>
    <t>C (Nv)</t>
  </si>
  <si>
    <t>Determining Seismic Source Type (A/B/C) and true distance requires a fault map/geotechnical study for the specific site — this cannot be generalized per district.</t>
  </si>
  <si>
    <t>ASCE 7 Reference Data — APPROXIMATE, NOT an official code value for Pakistan</t>
  </si>
  <si>
    <t>Pakistan has no officially published Ss/S1 (MCE spectral acceleration) hazard map, unlike the USGS map that ASCE 7 relies on in the US. The values below are back-calculated from the UBC-97 zone factor Z using an approximation commonly used in Pakistani practice (Ss ≈ 2.5·Z, S1 ≈ 1.0·Z). Use only where the client/regulator has no objection to this approximation, or better, commission a project-specific PSHA.</t>
  </si>
  <si>
    <t>Site Class Definitions (ASCE 7, Table 20.3-1) — site-specific geotechnical determination required</t>
  </si>
  <si>
    <t>Site Class</t>
  </si>
  <si>
    <t>Vs30 (m/s)</t>
  </si>
  <si>
    <t>A</t>
  </si>
  <si>
    <t>B</t>
  </si>
  <si>
    <t>760 – 1500</t>
  </si>
  <si>
    <t>C</t>
  </si>
  <si>
    <t>Very dense soil/soft rock</t>
  </si>
  <si>
    <t>360 – 760</t>
  </si>
  <si>
    <t>D</t>
  </si>
  <si>
    <t>Stiff soil (default if unknown, per ASCE 7 §11.4.3)</t>
  </si>
  <si>
    <t>180 – 360</t>
  </si>
  <si>
    <t>E</t>
  </si>
  <si>
    <t>Soft clay soil</t>
  </si>
  <si>
    <t>&lt; 180</t>
  </si>
  <si>
    <t>F</t>
  </si>
  <si>
    <t>Soils requiring site-specific evaluation</t>
  </si>
  <si>
    <t>Site Coefficient Fa (ASCE 7-16, Table 11.4-1)</t>
  </si>
  <si>
    <t>Ss=0.25</t>
  </si>
  <si>
    <t>Ss=0.5</t>
  </si>
  <si>
    <t>Ss=0.75</t>
  </si>
  <si>
    <t>Ss=1.0</t>
  </si>
  <si>
    <t>Ss=1.25</t>
  </si>
  <si>
    <t>Ss=1.5</t>
  </si>
  <si>
    <t>See Note</t>
  </si>
  <si>
    <t>Site Coefficient Fv (ASCE 7-16, Table 11.4-2)</t>
  </si>
  <si>
    <t>S1=0.1</t>
  </si>
  <si>
    <t>S1=0.2</t>
  </si>
  <si>
    <t>S1=0.3</t>
  </si>
  <si>
    <t>S1=0.4</t>
  </si>
  <si>
    <t>S1=0.5</t>
  </si>
  <si>
    <t>S1=0.6</t>
  </si>
  <si>
    <t>Design Spectral Acceleration Formulas (ASCE 7 §11.4.4–11.4.5)</t>
  </si>
  <si>
    <t>SMS = Fa × Ss</t>
  </si>
  <si>
    <t>SM1 = Fv × S1</t>
  </si>
  <si>
    <t>SDS = (2/3) × SMS</t>
  </si>
  <si>
    <t>SD1 = (2/3) × SM1</t>
  </si>
  <si>
    <t>'UBC-97 Parameters' — the full set of code tables you need in ETABS' UBC 97 seismic definition: Z (16-I), soil profile types (16-J), Ca (16-Q), Cv (16-R), importance factor (16-K), R &amp; Omega0 by system (16-N, abridged), near-source factors (16-S/16-T, Zone 4 only), seismic source types (16-U).</t>
  </si>
  <si>
    <t>ASCE 7 Approx. Parameters' — site class table (A–F), Fa/Fv tables, and the approximate Ss/S1/SDS/SD1 conversion. Clearly marked NOT AN OFFICIAL CODE VALUE.</t>
  </si>
  <si>
    <t>For use in ETABS seismic load-pattern definition</t>
  </si>
  <si>
    <t>District Seismic Zones' — find your project district, read its UBC-97 seismic zone and Z factor, sourced from BCP-SP 2007 Table 2.2 (Seismic Zones of Tehsils of Pakistan).</t>
  </si>
  <si>
    <t>ETABS Input Guide' — step-by-step: which numbers to type into which ETABS dialog boxes, for both the UBC 97 and ASCE 7-xx seismic load pattern options.</t>
  </si>
  <si>
    <t>One zone per district is a SIMPLIFICATION. BCP-2007 actually assigns zones per TEHSIL, and several large districts straddle two zones (e.g. Dera Ghazi Khan district: main city is Zone 2A but its western hill tehsils are Zone 2B; Khyber district ranges 2B–3). The value shown is the zone of the district's main city/headquarters tehsil. For a site outside the main city, verify the specific tehsil in the source table before finalizing a design.</t>
  </si>
  <si>
    <t>Newly created districts (post-2022 splits, e.g. some KP merged-tribal-district and Balochistan sub-districts) are shown with the zone of their parent tehsil/district; a small number of very recent splits may not be individually reflected.</t>
  </si>
  <si>
    <t>Near-source factors (Na, Nv) for Zone 4 sites, and Seismic Source Type (A/B/C), require the actual distance from the site to the nearest mapped active fault. This is project-specific and cannot be generalized per district — a placeholder of 1.0 / Type B is shown; have this checked by a geotechnical/seismic engineer for any Zone 4 project (Muzaffarabad, Bagh, Pishin, Ziarat, Chitral, Balakot, Nushki, etc.).</t>
  </si>
  <si>
    <t>Soil profile type (Sa–Sf) is a SITE-SPECIFIC geotechnical determination from a soil investigation report — it is not something a district-level table can supply. Do not assume 'stiff soil' by default for an important structure.</t>
  </si>
  <si>
    <t>ASCE 7 Ss/S1/SDS/SD1 values here are back-calculated from the UBC-97 Z factor using a commonly used engineering approximation (Ss ≈ 2.5·Z, S1 ≈ 1.0·Z), which several Pakistani consultants use for ETABS ASCE-7-mode models in the absence of an official hazard map. This is NOT an ASCE-published or code-mandated value. If the client, regulator, or peer reviewer requires true ASCE 7 hazard values, request a project-specific probabilistic seismic hazard analysis (PSHA) instead of using this approximation.</t>
  </si>
  <si>
    <t>N.L. = No Limit. This is an abridged list of the most common systems; consult UBC-97 for less common 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</si>
</sst>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Fill="1" applyAlignment="1">
      <alignment horizontal="left" vertical="center" indent="1"/>
    </xf>
    <xf numFmtId="0" fontId="2" fillId="0" borderId="0" xfId="0" applyFont="1" applyFill="1"/>
    <xf numFmtId="0" fontId="4" fillId="0" borderId="0" xfId="0" applyFont="1" applyFill="1" applyAlignment="1">
      <alignment vertical="top" wrapText="1"/>
    </xf>
    <xf numFmtId="0" fontId="5" fillId="0" borderId="0" xfId="0" applyFont="1" applyFill="1" applyAlignment="1">
      <alignment vertical="top" wrapText="1"/>
    </xf>
    <xf numFmtId="0" fontId="6" fillId="0" borderId="0" xfId="0" applyFont="1" applyFill="1" applyAlignment="1">
      <alignment vertical="top" wrapText="1"/>
    </xf>
    <xf numFmtId="0" fontId="5" fillId="0" borderId="0" xfId="0" applyFont="1" applyFill="1"/>
    <xf numFmtId="0" fontId="5" fillId="0" borderId="0" xfId="0" quotePrefix="1" applyFont="1" applyFill="1" applyAlignment="1">
      <alignment vertical="top" wrapText="1"/>
    </xf>
    <xf numFmtId="0" fontId="3" fillId="0" borderId="0" xfId="0" applyFont="1" applyFill="1" applyAlignment="1">
      <alignment horizontal="left" vertical="center"/>
    </xf>
    <xf numFmtId="0" fontId="7" fillId="2" borderId="0" xfId="0" applyFont="1" applyFill="1" applyAlignment="1">
      <alignment vertical="top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0" xfId="0" applyFont="1" applyFill="1"/>
    <xf numFmtId="0" fontId="5" fillId="0" borderId="0" xfId="0" applyFont="1" applyFill="1"/>
    <xf numFmtId="0" fontId="4" fillId="0" borderId="0" xfId="0" applyFont="1" applyFill="1"/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 applyFill="1" applyAlignment="1">
      <alignment horizontal="left" vertical="center" indent="1"/>
    </xf>
    <xf numFmtId="0" fontId="5" fillId="0" borderId="0" xfId="0" applyFont="1" applyFill="1" applyAlignment="1">
      <alignment vertical="center"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showGridLines="0" zoomScaleNormal="100" workbookViewId="0">
      <selection activeCell="B21" sqref="B21"/>
    </sheetView>
  </sheetViews>
  <sheetFormatPr defaultColWidth="8.7109375" defaultRowHeight="15" x14ac:dyDescent="0.25"/>
  <cols>
    <col min="1" max="1" width="3" style="2" customWidth="1"/>
    <col min="2" max="2" width="179.42578125" style="2" customWidth="1"/>
    <col min="3" max="16384" width="8.7109375" style="2"/>
  </cols>
  <sheetData>
    <row r="1" spans="1:2" ht="30" customHeight="1" x14ac:dyDescent="0.25">
      <c r="A1" s="8" t="s">
        <v>0</v>
      </c>
      <c r="B1" s="8"/>
    </row>
    <row r="2" spans="1:2" x14ac:dyDescent="0.25">
      <c r="A2" s="6" t="s">
        <v>304</v>
      </c>
      <c r="B2" s="6"/>
    </row>
    <row r="4" spans="1:2" ht="19.5" customHeight="1" x14ac:dyDescent="0.25">
      <c r="A4" s="3" t="s">
        <v>1</v>
      </c>
      <c r="B4" s="3"/>
    </row>
    <row r="5" spans="1:2" x14ac:dyDescent="0.25">
      <c r="A5" s="4" t="s">
        <v>2</v>
      </c>
      <c r="B5" s="4"/>
    </row>
    <row r="7" spans="1:2" ht="19.5" customHeight="1" x14ac:dyDescent="0.25">
      <c r="A7" s="3" t="s">
        <v>3</v>
      </c>
      <c r="B7" s="3"/>
    </row>
    <row r="8" spans="1:2" x14ac:dyDescent="0.25">
      <c r="A8" s="7" t="s">
        <v>305</v>
      </c>
      <c r="B8" s="4"/>
    </row>
    <row r="9" spans="1:2" ht="27" customHeight="1" x14ac:dyDescent="0.25">
      <c r="A9" s="7" t="s">
        <v>302</v>
      </c>
      <c r="B9" s="4"/>
    </row>
    <row r="10" spans="1:2" x14ac:dyDescent="0.25">
      <c r="A10" s="7" t="s">
        <v>303</v>
      </c>
      <c r="B10" s="4"/>
    </row>
    <row r="11" spans="1:2" ht="16.5" customHeight="1" x14ac:dyDescent="0.25">
      <c r="A11" s="7" t="s">
        <v>306</v>
      </c>
      <c r="B11" s="4"/>
    </row>
    <row r="13" spans="1:2" ht="19.5" customHeight="1" x14ac:dyDescent="0.25">
      <c r="A13" s="3" t="s">
        <v>4</v>
      </c>
      <c r="B13" s="3"/>
    </row>
    <row r="14" spans="1:2" ht="32.25" customHeight="1" x14ac:dyDescent="0.25">
      <c r="A14" s="5" t="s">
        <v>307</v>
      </c>
      <c r="B14" s="5"/>
    </row>
    <row r="15" spans="1:2" ht="15.75" customHeight="1" x14ac:dyDescent="0.25">
      <c r="A15" s="5" t="s">
        <v>308</v>
      </c>
      <c r="B15" s="5"/>
    </row>
    <row r="16" spans="1:2" ht="27.75" customHeight="1" x14ac:dyDescent="0.25">
      <c r="A16" s="5" t="s">
        <v>309</v>
      </c>
      <c r="B16" s="5"/>
    </row>
    <row r="17" spans="1:2" x14ac:dyDescent="0.25">
      <c r="A17" s="9" t="s">
        <v>310</v>
      </c>
      <c r="B17" s="9"/>
    </row>
    <row r="18" spans="1:2" ht="42" customHeight="1" x14ac:dyDescent="0.25">
      <c r="A18" s="5" t="s">
        <v>311</v>
      </c>
      <c r="B18" s="5"/>
    </row>
    <row r="19" spans="1:2" x14ac:dyDescent="0.25">
      <c r="A19" s="4"/>
      <c r="B19" s="4"/>
    </row>
  </sheetData>
  <mergeCells count="16">
    <mergeCell ref="A19:B19"/>
    <mergeCell ref="A14:B14"/>
    <mergeCell ref="A15:B15"/>
    <mergeCell ref="A16:B16"/>
    <mergeCell ref="A17:B17"/>
    <mergeCell ref="A18:B18"/>
    <mergeCell ref="A8:B8"/>
    <mergeCell ref="A9:B9"/>
    <mergeCell ref="A10:B10"/>
    <mergeCell ref="A11:B11"/>
    <mergeCell ref="A13:B13"/>
    <mergeCell ref="A1:B1"/>
    <mergeCell ref="A2:B2"/>
    <mergeCell ref="A4:B4"/>
    <mergeCell ref="A5:B5"/>
    <mergeCell ref="A7:B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7"/>
  <sheetViews>
    <sheetView showGridLines="0" zoomScaleNormal="100" workbookViewId="0">
      <pane ySplit="3" topLeftCell="A4" activePane="bottomLeft" state="frozen"/>
      <selection pane="bottomLeft" activeCell="C18" sqref="C18"/>
    </sheetView>
  </sheetViews>
  <sheetFormatPr defaultColWidth="8.7109375" defaultRowHeight="15" x14ac:dyDescent="0.25"/>
  <cols>
    <col min="1" max="1" width="19.5703125" style="2" bestFit="1" customWidth="1"/>
    <col min="2" max="2" width="28.42578125" style="2" bestFit="1" customWidth="1"/>
    <col min="3" max="3" width="21.85546875" style="2" bestFit="1" customWidth="1"/>
    <col min="4" max="4" width="14.85546875" style="2" bestFit="1" customWidth="1"/>
    <col min="5" max="5" width="14.7109375" style="2" bestFit="1" customWidth="1"/>
    <col min="6" max="6" width="28.28515625" style="2" bestFit="1" customWidth="1"/>
    <col min="7" max="7" width="28.42578125" style="2" bestFit="1" customWidth="1"/>
    <col min="8" max="16384" width="8.7109375" style="2"/>
  </cols>
  <sheetData>
    <row r="1" spans="1:7" ht="25.5" customHeight="1" x14ac:dyDescent="0.25">
      <c r="A1" s="1" t="s">
        <v>5</v>
      </c>
      <c r="B1" s="1"/>
      <c r="C1" s="1"/>
      <c r="D1" s="1"/>
      <c r="E1" s="1"/>
      <c r="F1" s="1"/>
      <c r="G1" s="1"/>
    </row>
    <row r="3" spans="1:7" ht="33.75" customHeight="1" x14ac:dyDescent="0.25">
      <c r="A3" s="10" t="s">
        <v>6</v>
      </c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</row>
    <row r="4" spans="1:7" x14ac:dyDescent="0.25">
      <c r="A4" s="11" t="s">
        <v>13</v>
      </c>
      <c r="B4" s="11" t="s">
        <v>14</v>
      </c>
      <c r="C4" s="12" t="s">
        <v>15</v>
      </c>
      <c r="D4" s="13">
        <f>INDEX('UBC-97 Parameters'!$C$5:$C$9,MATCH(C4,'UBC-97 Parameters'!$B$5:$B$9,0))</f>
        <v>0.2</v>
      </c>
      <c r="E4" s="13" t="str">
        <f>INDEX('UBC-97 Parameters'!$D$5:$D$9,MATCH(C4,'UBC-97 Parameters'!$B$5:$B$9,0))</f>
        <v>0.16 – 0.24</v>
      </c>
      <c r="F4" s="13">
        <f t="shared" ref="F4:F35" si="0">ROUND(D4*2.5,3)</f>
        <v>0.5</v>
      </c>
      <c r="G4" s="13">
        <f t="shared" ref="G4:G35" si="1">ROUND(D4*1,3)</f>
        <v>0.2</v>
      </c>
    </row>
    <row r="5" spans="1:7" x14ac:dyDescent="0.25">
      <c r="A5" s="11" t="s">
        <v>13</v>
      </c>
      <c r="B5" s="11" t="s">
        <v>16</v>
      </c>
      <c r="C5" s="12" t="s">
        <v>15</v>
      </c>
      <c r="D5" s="13">
        <f>INDEX('UBC-97 Parameters'!$C$5:$C$9,MATCH(C5,'UBC-97 Parameters'!$B$5:$B$9,0))</f>
        <v>0.2</v>
      </c>
      <c r="E5" s="13" t="str">
        <f>INDEX('UBC-97 Parameters'!$D$5:$D$9,MATCH(C5,'UBC-97 Parameters'!$B$5:$B$9,0))</f>
        <v>0.16 – 0.24</v>
      </c>
      <c r="F5" s="13">
        <f t="shared" si="0"/>
        <v>0.5</v>
      </c>
      <c r="G5" s="13">
        <f t="shared" si="1"/>
        <v>0.2</v>
      </c>
    </row>
    <row r="6" spans="1:7" x14ac:dyDescent="0.25">
      <c r="A6" s="11" t="s">
        <v>13</v>
      </c>
      <c r="B6" s="11" t="s">
        <v>17</v>
      </c>
      <c r="C6" s="12" t="s">
        <v>15</v>
      </c>
      <c r="D6" s="13">
        <f>INDEX('UBC-97 Parameters'!$C$5:$C$9,MATCH(C6,'UBC-97 Parameters'!$B$5:$B$9,0))</f>
        <v>0.2</v>
      </c>
      <c r="E6" s="13" t="str">
        <f>INDEX('UBC-97 Parameters'!$D$5:$D$9,MATCH(C6,'UBC-97 Parameters'!$B$5:$B$9,0))</f>
        <v>0.16 – 0.24</v>
      </c>
      <c r="F6" s="13">
        <f t="shared" si="0"/>
        <v>0.5</v>
      </c>
      <c r="G6" s="13">
        <f t="shared" si="1"/>
        <v>0.2</v>
      </c>
    </row>
    <row r="7" spans="1:7" x14ac:dyDescent="0.25">
      <c r="A7" s="11" t="s">
        <v>13</v>
      </c>
      <c r="B7" s="11" t="s">
        <v>18</v>
      </c>
      <c r="C7" s="12" t="s">
        <v>15</v>
      </c>
      <c r="D7" s="13">
        <f>INDEX('UBC-97 Parameters'!$C$5:$C$9,MATCH(C7,'UBC-97 Parameters'!$B$5:$B$9,0))</f>
        <v>0.2</v>
      </c>
      <c r="E7" s="13" t="str">
        <f>INDEX('UBC-97 Parameters'!$D$5:$D$9,MATCH(C7,'UBC-97 Parameters'!$B$5:$B$9,0))</f>
        <v>0.16 – 0.24</v>
      </c>
      <c r="F7" s="13">
        <f t="shared" si="0"/>
        <v>0.5</v>
      </c>
      <c r="G7" s="13">
        <f t="shared" si="1"/>
        <v>0.2</v>
      </c>
    </row>
    <row r="8" spans="1:7" x14ac:dyDescent="0.25">
      <c r="A8" s="11" t="s">
        <v>13</v>
      </c>
      <c r="B8" s="11" t="s">
        <v>19</v>
      </c>
      <c r="C8" s="12" t="s">
        <v>15</v>
      </c>
      <c r="D8" s="13">
        <f>INDEX('UBC-97 Parameters'!$C$5:$C$9,MATCH(C8,'UBC-97 Parameters'!$B$5:$B$9,0))</f>
        <v>0.2</v>
      </c>
      <c r="E8" s="13" t="str">
        <f>INDEX('UBC-97 Parameters'!$D$5:$D$9,MATCH(C8,'UBC-97 Parameters'!$B$5:$B$9,0))</f>
        <v>0.16 – 0.24</v>
      </c>
      <c r="F8" s="13">
        <f t="shared" si="0"/>
        <v>0.5</v>
      </c>
      <c r="G8" s="13">
        <f t="shared" si="1"/>
        <v>0.2</v>
      </c>
    </row>
    <row r="9" spans="1:7" x14ac:dyDescent="0.25">
      <c r="A9" s="11" t="s">
        <v>13</v>
      </c>
      <c r="B9" s="11" t="s">
        <v>20</v>
      </c>
      <c r="C9" s="12" t="s">
        <v>15</v>
      </c>
      <c r="D9" s="13">
        <f>INDEX('UBC-97 Parameters'!$C$5:$C$9,MATCH(C9,'UBC-97 Parameters'!$B$5:$B$9,0))</f>
        <v>0.2</v>
      </c>
      <c r="E9" s="13" t="str">
        <f>INDEX('UBC-97 Parameters'!$D$5:$D$9,MATCH(C9,'UBC-97 Parameters'!$B$5:$B$9,0))</f>
        <v>0.16 – 0.24</v>
      </c>
      <c r="F9" s="13">
        <f t="shared" si="0"/>
        <v>0.5</v>
      </c>
      <c r="G9" s="13">
        <f t="shared" si="1"/>
        <v>0.2</v>
      </c>
    </row>
    <row r="10" spans="1:7" x14ac:dyDescent="0.25">
      <c r="A10" s="11" t="s">
        <v>13</v>
      </c>
      <c r="B10" s="11" t="s">
        <v>21</v>
      </c>
      <c r="C10" s="12" t="s">
        <v>15</v>
      </c>
      <c r="D10" s="13">
        <f>INDEX('UBC-97 Parameters'!$C$5:$C$9,MATCH(C10,'UBC-97 Parameters'!$B$5:$B$9,0))</f>
        <v>0.2</v>
      </c>
      <c r="E10" s="13" t="str">
        <f>INDEX('UBC-97 Parameters'!$D$5:$D$9,MATCH(C10,'UBC-97 Parameters'!$B$5:$B$9,0))</f>
        <v>0.16 – 0.24</v>
      </c>
      <c r="F10" s="13">
        <f t="shared" si="0"/>
        <v>0.5</v>
      </c>
      <c r="G10" s="13">
        <f t="shared" si="1"/>
        <v>0.2</v>
      </c>
    </row>
    <row r="11" spans="1:7" x14ac:dyDescent="0.25">
      <c r="A11" s="11" t="s">
        <v>13</v>
      </c>
      <c r="B11" s="11" t="s">
        <v>22</v>
      </c>
      <c r="C11" s="12" t="s">
        <v>23</v>
      </c>
      <c r="D11" s="13">
        <f>INDEX('UBC-97 Parameters'!$C$5:$C$9,MATCH(C11,'UBC-97 Parameters'!$B$5:$B$9,0))</f>
        <v>0.15</v>
      </c>
      <c r="E11" s="13" t="str">
        <f>INDEX('UBC-97 Parameters'!$D$5:$D$9,MATCH(C11,'UBC-97 Parameters'!$B$5:$B$9,0))</f>
        <v>0.08 – 0.16</v>
      </c>
      <c r="F11" s="13">
        <f t="shared" si="0"/>
        <v>0.375</v>
      </c>
      <c r="G11" s="13">
        <f t="shared" si="1"/>
        <v>0.15</v>
      </c>
    </row>
    <row r="12" spans="1:7" x14ac:dyDescent="0.25">
      <c r="A12" s="11" t="s">
        <v>13</v>
      </c>
      <c r="B12" s="11" t="s">
        <v>24</v>
      </c>
      <c r="C12" s="12" t="s">
        <v>23</v>
      </c>
      <c r="D12" s="13">
        <f>INDEX('UBC-97 Parameters'!$C$5:$C$9,MATCH(C12,'UBC-97 Parameters'!$B$5:$B$9,0))</f>
        <v>0.15</v>
      </c>
      <c r="E12" s="13" t="str">
        <f>INDEX('UBC-97 Parameters'!$D$5:$D$9,MATCH(C12,'UBC-97 Parameters'!$B$5:$B$9,0))</f>
        <v>0.08 – 0.16</v>
      </c>
      <c r="F12" s="13">
        <f t="shared" si="0"/>
        <v>0.375</v>
      </c>
      <c r="G12" s="13">
        <f t="shared" si="1"/>
        <v>0.15</v>
      </c>
    </row>
    <row r="13" spans="1:7" x14ac:dyDescent="0.25">
      <c r="A13" s="11" t="s">
        <v>13</v>
      </c>
      <c r="B13" s="11" t="s">
        <v>25</v>
      </c>
      <c r="C13" s="12" t="s">
        <v>15</v>
      </c>
      <c r="D13" s="13">
        <f>INDEX('UBC-97 Parameters'!$C$5:$C$9,MATCH(C13,'UBC-97 Parameters'!$B$5:$B$9,0))</f>
        <v>0.2</v>
      </c>
      <c r="E13" s="13" t="str">
        <f>INDEX('UBC-97 Parameters'!$D$5:$D$9,MATCH(C13,'UBC-97 Parameters'!$B$5:$B$9,0))</f>
        <v>0.16 – 0.24</v>
      </c>
      <c r="F13" s="13">
        <f t="shared" si="0"/>
        <v>0.5</v>
      </c>
      <c r="G13" s="13">
        <f t="shared" si="1"/>
        <v>0.2</v>
      </c>
    </row>
    <row r="14" spans="1:7" x14ac:dyDescent="0.25">
      <c r="A14" s="11" t="s">
        <v>13</v>
      </c>
      <c r="B14" s="11" t="s">
        <v>26</v>
      </c>
      <c r="C14" s="12" t="s">
        <v>23</v>
      </c>
      <c r="D14" s="13">
        <f>INDEX('UBC-97 Parameters'!$C$5:$C$9,MATCH(C14,'UBC-97 Parameters'!$B$5:$B$9,0))</f>
        <v>0.15</v>
      </c>
      <c r="E14" s="13" t="str">
        <f>INDEX('UBC-97 Parameters'!$D$5:$D$9,MATCH(C14,'UBC-97 Parameters'!$B$5:$B$9,0))</f>
        <v>0.08 – 0.16</v>
      </c>
      <c r="F14" s="13">
        <f t="shared" si="0"/>
        <v>0.375</v>
      </c>
      <c r="G14" s="13">
        <f t="shared" si="1"/>
        <v>0.15</v>
      </c>
    </row>
    <row r="15" spans="1:7" x14ac:dyDescent="0.25">
      <c r="A15" s="11" t="s">
        <v>13</v>
      </c>
      <c r="B15" s="11" t="s">
        <v>27</v>
      </c>
      <c r="C15" s="12" t="s">
        <v>23</v>
      </c>
      <c r="D15" s="13">
        <f>INDEX('UBC-97 Parameters'!$C$5:$C$9,MATCH(C15,'UBC-97 Parameters'!$B$5:$B$9,0))</f>
        <v>0.15</v>
      </c>
      <c r="E15" s="13" t="str">
        <f>INDEX('UBC-97 Parameters'!$D$5:$D$9,MATCH(C15,'UBC-97 Parameters'!$B$5:$B$9,0))</f>
        <v>0.08 – 0.16</v>
      </c>
      <c r="F15" s="13">
        <f t="shared" si="0"/>
        <v>0.375</v>
      </c>
      <c r="G15" s="13">
        <f t="shared" si="1"/>
        <v>0.15</v>
      </c>
    </row>
    <row r="16" spans="1:7" x14ac:dyDescent="0.25">
      <c r="A16" s="11" t="s">
        <v>13</v>
      </c>
      <c r="B16" s="11" t="s">
        <v>28</v>
      </c>
      <c r="C16" s="12" t="s">
        <v>23</v>
      </c>
      <c r="D16" s="13">
        <f>INDEX('UBC-97 Parameters'!$C$5:$C$9,MATCH(C16,'UBC-97 Parameters'!$B$5:$B$9,0))</f>
        <v>0.15</v>
      </c>
      <c r="E16" s="13" t="str">
        <f>INDEX('UBC-97 Parameters'!$D$5:$D$9,MATCH(C16,'UBC-97 Parameters'!$B$5:$B$9,0))</f>
        <v>0.08 – 0.16</v>
      </c>
      <c r="F16" s="13">
        <f t="shared" si="0"/>
        <v>0.375</v>
      </c>
      <c r="G16" s="13">
        <f t="shared" si="1"/>
        <v>0.15</v>
      </c>
    </row>
    <row r="17" spans="1:7" x14ac:dyDescent="0.25">
      <c r="A17" s="11" t="s">
        <v>13</v>
      </c>
      <c r="B17" s="11" t="s">
        <v>29</v>
      </c>
      <c r="C17" s="12" t="s">
        <v>23</v>
      </c>
      <c r="D17" s="13">
        <f>INDEX('UBC-97 Parameters'!$C$5:$C$9,MATCH(C17,'UBC-97 Parameters'!$B$5:$B$9,0))</f>
        <v>0.15</v>
      </c>
      <c r="E17" s="13" t="str">
        <f>INDEX('UBC-97 Parameters'!$D$5:$D$9,MATCH(C17,'UBC-97 Parameters'!$B$5:$B$9,0))</f>
        <v>0.08 – 0.16</v>
      </c>
      <c r="F17" s="13">
        <f t="shared" si="0"/>
        <v>0.375</v>
      </c>
      <c r="G17" s="13">
        <f t="shared" si="1"/>
        <v>0.15</v>
      </c>
    </row>
    <row r="18" spans="1:7" x14ac:dyDescent="0.25">
      <c r="A18" s="11" t="s">
        <v>13</v>
      </c>
      <c r="B18" s="11" t="s">
        <v>30</v>
      </c>
      <c r="C18" s="12" t="s">
        <v>23</v>
      </c>
      <c r="D18" s="13">
        <f>INDEX('UBC-97 Parameters'!$C$5:$C$9,MATCH(C18,'UBC-97 Parameters'!$B$5:$B$9,0))</f>
        <v>0.15</v>
      </c>
      <c r="E18" s="13" t="str">
        <f>INDEX('UBC-97 Parameters'!$D$5:$D$9,MATCH(C18,'UBC-97 Parameters'!$B$5:$B$9,0))</f>
        <v>0.08 – 0.16</v>
      </c>
      <c r="F18" s="13">
        <f t="shared" si="0"/>
        <v>0.375</v>
      </c>
      <c r="G18" s="13">
        <f t="shared" si="1"/>
        <v>0.15</v>
      </c>
    </row>
    <row r="19" spans="1:7" x14ac:dyDescent="0.25">
      <c r="A19" s="11" t="s">
        <v>13</v>
      </c>
      <c r="B19" s="11" t="s">
        <v>31</v>
      </c>
      <c r="C19" s="12" t="s">
        <v>23</v>
      </c>
      <c r="D19" s="13">
        <f>INDEX('UBC-97 Parameters'!$C$5:$C$9,MATCH(C19,'UBC-97 Parameters'!$B$5:$B$9,0))</f>
        <v>0.15</v>
      </c>
      <c r="E19" s="13" t="str">
        <f>INDEX('UBC-97 Parameters'!$D$5:$D$9,MATCH(C19,'UBC-97 Parameters'!$B$5:$B$9,0))</f>
        <v>0.08 – 0.16</v>
      </c>
      <c r="F19" s="13">
        <f t="shared" si="0"/>
        <v>0.375</v>
      </c>
      <c r="G19" s="13">
        <f t="shared" si="1"/>
        <v>0.15</v>
      </c>
    </row>
    <row r="20" spans="1:7" x14ac:dyDescent="0.25">
      <c r="A20" s="11" t="s">
        <v>13</v>
      </c>
      <c r="B20" s="11" t="s">
        <v>32</v>
      </c>
      <c r="C20" s="12" t="s">
        <v>23</v>
      </c>
      <c r="D20" s="13">
        <f>INDEX('UBC-97 Parameters'!$C$5:$C$9,MATCH(C20,'UBC-97 Parameters'!$B$5:$B$9,0))</f>
        <v>0.15</v>
      </c>
      <c r="E20" s="13" t="str">
        <f>INDEX('UBC-97 Parameters'!$D$5:$D$9,MATCH(C20,'UBC-97 Parameters'!$B$5:$B$9,0))</f>
        <v>0.08 – 0.16</v>
      </c>
      <c r="F20" s="13">
        <f t="shared" si="0"/>
        <v>0.375</v>
      </c>
      <c r="G20" s="13">
        <f t="shared" si="1"/>
        <v>0.15</v>
      </c>
    </row>
    <row r="21" spans="1:7" x14ac:dyDescent="0.25">
      <c r="A21" s="11" t="s">
        <v>13</v>
      </c>
      <c r="B21" s="11" t="s">
        <v>33</v>
      </c>
      <c r="C21" s="12" t="s">
        <v>23</v>
      </c>
      <c r="D21" s="13">
        <f>INDEX('UBC-97 Parameters'!$C$5:$C$9,MATCH(C21,'UBC-97 Parameters'!$B$5:$B$9,0))</f>
        <v>0.15</v>
      </c>
      <c r="E21" s="13" t="str">
        <f>INDEX('UBC-97 Parameters'!$D$5:$D$9,MATCH(C21,'UBC-97 Parameters'!$B$5:$B$9,0))</f>
        <v>0.08 – 0.16</v>
      </c>
      <c r="F21" s="13">
        <f t="shared" si="0"/>
        <v>0.375</v>
      </c>
      <c r="G21" s="13">
        <f t="shared" si="1"/>
        <v>0.15</v>
      </c>
    </row>
    <row r="22" spans="1:7" x14ac:dyDescent="0.25">
      <c r="A22" s="11" t="s">
        <v>13</v>
      </c>
      <c r="B22" s="11" t="s">
        <v>34</v>
      </c>
      <c r="C22" s="12" t="s">
        <v>23</v>
      </c>
      <c r="D22" s="13">
        <f>INDEX('UBC-97 Parameters'!$C$5:$C$9,MATCH(C22,'UBC-97 Parameters'!$B$5:$B$9,0))</f>
        <v>0.15</v>
      </c>
      <c r="E22" s="13" t="str">
        <f>INDEX('UBC-97 Parameters'!$D$5:$D$9,MATCH(C22,'UBC-97 Parameters'!$B$5:$B$9,0))</f>
        <v>0.08 – 0.16</v>
      </c>
      <c r="F22" s="13">
        <f t="shared" si="0"/>
        <v>0.375</v>
      </c>
      <c r="G22" s="13">
        <f t="shared" si="1"/>
        <v>0.15</v>
      </c>
    </row>
    <row r="23" spans="1:7" x14ac:dyDescent="0.25">
      <c r="A23" s="11" t="s">
        <v>13</v>
      </c>
      <c r="B23" s="11" t="s">
        <v>35</v>
      </c>
      <c r="C23" s="12" t="s">
        <v>23</v>
      </c>
      <c r="D23" s="13">
        <f>INDEX('UBC-97 Parameters'!$C$5:$C$9,MATCH(C23,'UBC-97 Parameters'!$B$5:$B$9,0))</f>
        <v>0.15</v>
      </c>
      <c r="E23" s="13" t="str">
        <f>INDEX('UBC-97 Parameters'!$D$5:$D$9,MATCH(C23,'UBC-97 Parameters'!$B$5:$B$9,0))</f>
        <v>0.08 – 0.16</v>
      </c>
      <c r="F23" s="13">
        <f t="shared" si="0"/>
        <v>0.375</v>
      </c>
      <c r="G23" s="13">
        <f t="shared" si="1"/>
        <v>0.15</v>
      </c>
    </row>
    <row r="24" spans="1:7" x14ac:dyDescent="0.25">
      <c r="A24" s="11" t="s">
        <v>13</v>
      </c>
      <c r="B24" s="11" t="s">
        <v>36</v>
      </c>
      <c r="C24" s="12" t="s">
        <v>23</v>
      </c>
      <c r="D24" s="13">
        <f>INDEX('UBC-97 Parameters'!$C$5:$C$9,MATCH(C24,'UBC-97 Parameters'!$B$5:$B$9,0))</f>
        <v>0.15</v>
      </c>
      <c r="E24" s="13" t="str">
        <f>INDEX('UBC-97 Parameters'!$D$5:$D$9,MATCH(C24,'UBC-97 Parameters'!$B$5:$B$9,0))</f>
        <v>0.08 – 0.16</v>
      </c>
      <c r="F24" s="13">
        <f t="shared" si="0"/>
        <v>0.375</v>
      </c>
      <c r="G24" s="13">
        <f t="shared" si="1"/>
        <v>0.15</v>
      </c>
    </row>
    <row r="25" spans="1:7" x14ac:dyDescent="0.25">
      <c r="A25" s="11" t="s">
        <v>13</v>
      </c>
      <c r="B25" s="11" t="s">
        <v>37</v>
      </c>
      <c r="C25" s="12" t="s">
        <v>23</v>
      </c>
      <c r="D25" s="13">
        <f>INDEX('UBC-97 Parameters'!$C$5:$C$9,MATCH(C25,'UBC-97 Parameters'!$B$5:$B$9,0))</f>
        <v>0.15</v>
      </c>
      <c r="E25" s="13" t="str">
        <f>INDEX('UBC-97 Parameters'!$D$5:$D$9,MATCH(C25,'UBC-97 Parameters'!$B$5:$B$9,0))</f>
        <v>0.08 – 0.16</v>
      </c>
      <c r="F25" s="13">
        <f t="shared" si="0"/>
        <v>0.375</v>
      </c>
      <c r="G25" s="13">
        <f t="shared" si="1"/>
        <v>0.15</v>
      </c>
    </row>
    <row r="26" spans="1:7" x14ac:dyDescent="0.25">
      <c r="A26" s="11" t="s">
        <v>13</v>
      </c>
      <c r="B26" s="11" t="s">
        <v>38</v>
      </c>
      <c r="C26" s="12" t="s">
        <v>15</v>
      </c>
      <c r="D26" s="13">
        <f>INDEX('UBC-97 Parameters'!$C$5:$C$9,MATCH(C26,'UBC-97 Parameters'!$B$5:$B$9,0))</f>
        <v>0.2</v>
      </c>
      <c r="E26" s="13" t="str">
        <f>INDEX('UBC-97 Parameters'!$D$5:$D$9,MATCH(C26,'UBC-97 Parameters'!$B$5:$B$9,0))</f>
        <v>0.16 – 0.24</v>
      </c>
      <c r="F26" s="13">
        <f t="shared" si="0"/>
        <v>0.5</v>
      </c>
      <c r="G26" s="13">
        <f t="shared" si="1"/>
        <v>0.2</v>
      </c>
    </row>
    <row r="27" spans="1:7" x14ac:dyDescent="0.25">
      <c r="A27" s="11" t="s">
        <v>13</v>
      </c>
      <c r="B27" s="11" t="s">
        <v>39</v>
      </c>
      <c r="C27" s="12" t="s">
        <v>15</v>
      </c>
      <c r="D27" s="13">
        <f>INDEX('UBC-97 Parameters'!$C$5:$C$9,MATCH(C27,'UBC-97 Parameters'!$B$5:$B$9,0))</f>
        <v>0.2</v>
      </c>
      <c r="E27" s="13" t="str">
        <f>INDEX('UBC-97 Parameters'!$D$5:$D$9,MATCH(C27,'UBC-97 Parameters'!$B$5:$B$9,0))</f>
        <v>0.16 – 0.24</v>
      </c>
      <c r="F27" s="13">
        <f t="shared" si="0"/>
        <v>0.5</v>
      </c>
      <c r="G27" s="13">
        <f t="shared" si="1"/>
        <v>0.2</v>
      </c>
    </row>
    <row r="28" spans="1:7" x14ac:dyDescent="0.25">
      <c r="A28" s="11" t="s">
        <v>13</v>
      </c>
      <c r="B28" s="11" t="s">
        <v>40</v>
      </c>
      <c r="C28" s="12" t="s">
        <v>23</v>
      </c>
      <c r="D28" s="13">
        <f>INDEX('UBC-97 Parameters'!$C$5:$C$9,MATCH(C28,'UBC-97 Parameters'!$B$5:$B$9,0))</f>
        <v>0.15</v>
      </c>
      <c r="E28" s="13" t="str">
        <f>INDEX('UBC-97 Parameters'!$D$5:$D$9,MATCH(C28,'UBC-97 Parameters'!$B$5:$B$9,0))</f>
        <v>0.08 – 0.16</v>
      </c>
      <c r="F28" s="13">
        <f t="shared" si="0"/>
        <v>0.375</v>
      </c>
      <c r="G28" s="13">
        <f t="shared" si="1"/>
        <v>0.15</v>
      </c>
    </row>
    <row r="29" spans="1:7" x14ac:dyDescent="0.25">
      <c r="A29" s="11" t="s">
        <v>13</v>
      </c>
      <c r="B29" s="11" t="s">
        <v>41</v>
      </c>
      <c r="C29" s="12" t="s">
        <v>23</v>
      </c>
      <c r="D29" s="13">
        <f>INDEX('UBC-97 Parameters'!$C$5:$C$9,MATCH(C29,'UBC-97 Parameters'!$B$5:$B$9,0))</f>
        <v>0.15</v>
      </c>
      <c r="E29" s="13" t="str">
        <f>INDEX('UBC-97 Parameters'!$D$5:$D$9,MATCH(C29,'UBC-97 Parameters'!$B$5:$B$9,0))</f>
        <v>0.08 – 0.16</v>
      </c>
      <c r="F29" s="13">
        <f t="shared" si="0"/>
        <v>0.375</v>
      </c>
      <c r="G29" s="13">
        <f t="shared" si="1"/>
        <v>0.15</v>
      </c>
    </row>
    <row r="30" spans="1:7" x14ac:dyDescent="0.25">
      <c r="A30" s="11" t="s">
        <v>13</v>
      </c>
      <c r="B30" s="11" t="s">
        <v>42</v>
      </c>
      <c r="C30" s="12" t="s">
        <v>23</v>
      </c>
      <c r="D30" s="13">
        <f>INDEX('UBC-97 Parameters'!$C$5:$C$9,MATCH(C30,'UBC-97 Parameters'!$B$5:$B$9,0))</f>
        <v>0.15</v>
      </c>
      <c r="E30" s="13" t="str">
        <f>INDEX('UBC-97 Parameters'!$D$5:$D$9,MATCH(C30,'UBC-97 Parameters'!$B$5:$B$9,0))</f>
        <v>0.08 – 0.16</v>
      </c>
      <c r="F30" s="13">
        <f t="shared" si="0"/>
        <v>0.375</v>
      </c>
      <c r="G30" s="13">
        <f t="shared" si="1"/>
        <v>0.15</v>
      </c>
    </row>
    <row r="31" spans="1:7" x14ac:dyDescent="0.25">
      <c r="A31" s="11" t="s">
        <v>13</v>
      </c>
      <c r="B31" s="11" t="s">
        <v>43</v>
      </c>
      <c r="C31" s="12" t="s">
        <v>23</v>
      </c>
      <c r="D31" s="13">
        <f>INDEX('UBC-97 Parameters'!$C$5:$C$9,MATCH(C31,'UBC-97 Parameters'!$B$5:$B$9,0))</f>
        <v>0.15</v>
      </c>
      <c r="E31" s="13" t="str">
        <f>INDEX('UBC-97 Parameters'!$D$5:$D$9,MATCH(C31,'UBC-97 Parameters'!$B$5:$B$9,0))</f>
        <v>0.08 – 0.16</v>
      </c>
      <c r="F31" s="13">
        <f t="shared" si="0"/>
        <v>0.375</v>
      </c>
      <c r="G31" s="13">
        <f t="shared" si="1"/>
        <v>0.15</v>
      </c>
    </row>
    <row r="32" spans="1:7" x14ac:dyDescent="0.25">
      <c r="A32" s="11" t="s">
        <v>13</v>
      </c>
      <c r="B32" s="11" t="s">
        <v>44</v>
      </c>
      <c r="C32" s="12" t="s">
        <v>23</v>
      </c>
      <c r="D32" s="13">
        <f>INDEX('UBC-97 Parameters'!$C$5:$C$9,MATCH(C32,'UBC-97 Parameters'!$B$5:$B$9,0))</f>
        <v>0.15</v>
      </c>
      <c r="E32" s="13" t="str">
        <f>INDEX('UBC-97 Parameters'!$D$5:$D$9,MATCH(C32,'UBC-97 Parameters'!$B$5:$B$9,0))</f>
        <v>0.08 – 0.16</v>
      </c>
      <c r="F32" s="13">
        <f t="shared" si="0"/>
        <v>0.375</v>
      </c>
      <c r="G32" s="13">
        <f t="shared" si="1"/>
        <v>0.15</v>
      </c>
    </row>
    <row r="33" spans="1:7" x14ac:dyDescent="0.25">
      <c r="A33" s="11" t="s">
        <v>13</v>
      </c>
      <c r="B33" s="11" t="s">
        <v>45</v>
      </c>
      <c r="C33" s="12" t="s">
        <v>23</v>
      </c>
      <c r="D33" s="13">
        <f>INDEX('UBC-97 Parameters'!$C$5:$C$9,MATCH(C33,'UBC-97 Parameters'!$B$5:$B$9,0))</f>
        <v>0.15</v>
      </c>
      <c r="E33" s="13" t="str">
        <f>INDEX('UBC-97 Parameters'!$D$5:$D$9,MATCH(C33,'UBC-97 Parameters'!$B$5:$B$9,0))</f>
        <v>0.08 – 0.16</v>
      </c>
      <c r="F33" s="13">
        <f t="shared" si="0"/>
        <v>0.375</v>
      </c>
      <c r="G33" s="13">
        <f t="shared" si="1"/>
        <v>0.15</v>
      </c>
    </row>
    <row r="34" spans="1:7" x14ac:dyDescent="0.25">
      <c r="A34" s="11" t="s">
        <v>13</v>
      </c>
      <c r="B34" s="11" t="s">
        <v>46</v>
      </c>
      <c r="C34" s="12" t="s">
        <v>23</v>
      </c>
      <c r="D34" s="13">
        <f>INDEX('UBC-97 Parameters'!$C$5:$C$9,MATCH(C34,'UBC-97 Parameters'!$B$5:$B$9,0))</f>
        <v>0.15</v>
      </c>
      <c r="E34" s="13" t="str">
        <f>INDEX('UBC-97 Parameters'!$D$5:$D$9,MATCH(C34,'UBC-97 Parameters'!$B$5:$B$9,0))</f>
        <v>0.08 – 0.16</v>
      </c>
      <c r="F34" s="13">
        <f t="shared" si="0"/>
        <v>0.375</v>
      </c>
      <c r="G34" s="13">
        <f t="shared" si="1"/>
        <v>0.15</v>
      </c>
    </row>
    <row r="35" spans="1:7" x14ac:dyDescent="0.25">
      <c r="A35" s="11" t="s">
        <v>13</v>
      </c>
      <c r="B35" s="11" t="s">
        <v>47</v>
      </c>
      <c r="C35" s="12" t="s">
        <v>23</v>
      </c>
      <c r="D35" s="13">
        <f>INDEX('UBC-97 Parameters'!$C$5:$C$9,MATCH(C35,'UBC-97 Parameters'!$B$5:$B$9,0))</f>
        <v>0.15</v>
      </c>
      <c r="E35" s="13" t="str">
        <f>INDEX('UBC-97 Parameters'!$D$5:$D$9,MATCH(C35,'UBC-97 Parameters'!$B$5:$B$9,0))</f>
        <v>0.08 – 0.16</v>
      </c>
      <c r="F35" s="13">
        <f t="shared" si="0"/>
        <v>0.375</v>
      </c>
      <c r="G35" s="13">
        <f t="shared" si="1"/>
        <v>0.15</v>
      </c>
    </row>
    <row r="36" spans="1:7" x14ac:dyDescent="0.25">
      <c r="A36" s="11" t="s">
        <v>13</v>
      </c>
      <c r="B36" s="11" t="s">
        <v>48</v>
      </c>
      <c r="C36" s="12" t="s">
        <v>23</v>
      </c>
      <c r="D36" s="13">
        <f>INDEX('UBC-97 Parameters'!$C$5:$C$9,MATCH(C36,'UBC-97 Parameters'!$B$5:$B$9,0))</f>
        <v>0.15</v>
      </c>
      <c r="E36" s="13" t="str">
        <f>INDEX('UBC-97 Parameters'!$D$5:$D$9,MATCH(C36,'UBC-97 Parameters'!$B$5:$B$9,0))</f>
        <v>0.08 – 0.16</v>
      </c>
      <c r="F36" s="13">
        <f t="shared" ref="F36:F67" si="2">ROUND(D36*2.5,3)</f>
        <v>0.375</v>
      </c>
      <c r="G36" s="13">
        <f t="shared" ref="G36:G67" si="3">ROUND(D36*1,3)</f>
        <v>0.15</v>
      </c>
    </row>
    <row r="37" spans="1:7" x14ac:dyDescent="0.25">
      <c r="A37" s="11" t="s">
        <v>13</v>
      </c>
      <c r="B37" s="11" t="s">
        <v>49</v>
      </c>
      <c r="C37" s="12" t="s">
        <v>23</v>
      </c>
      <c r="D37" s="13">
        <f>INDEX('UBC-97 Parameters'!$C$5:$C$9,MATCH(C37,'UBC-97 Parameters'!$B$5:$B$9,0))</f>
        <v>0.15</v>
      </c>
      <c r="E37" s="13" t="str">
        <f>INDEX('UBC-97 Parameters'!$D$5:$D$9,MATCH(C37,'UBC-97 Parameters'!$B$5:$B$9,0))</f>
        <v>0.08 – 0.16</v>
      </c>
      <c r="F37" s="13">
        <f t="shared" si="2"/>
        <v>0.375</v>
      </c>
      <c r="G37" s="13">
        <f t="shared" si="3"/>
        <v>0.15</v>
      </c>
    </row>
    <row r="38" spans="1:7" x14ac:dyDescent="0.25">
      <c r="A38" s="11" t="s">
        <v>13</v>
      </c>
      <c r="B38" s="11" t="s">
        <v>50</v>
      </c>
      <c r="C38" s="12" t="s">
        <v>23</v>
      </c>
      <c r="D38" s="13">
        <f>INDEX('UBC-97 Parameters'!$C$5:$C$9,MATCH(C38,'UBC-97 Parameters'!$B$5:$B$9,0))</f>
        <v>0.15</v>
      </c>
      <c r="E38" s="13" t="str">
        <f>INDEX('UBC-97 Parameters'!$D$5:$D$9,MATCH(C38,'UBC-97 Parameters'!$B$5:$B$9,0))</f>
        <v>0.08 – 0.16</v>
      </c>
      <c r="F38" s="13">
        <f t="shared" si="2"/>
        <v>0.375</v>
      </c>
      <c r="G38" s="13">
        <f t="shared" si="3"/>
        <v>0.15</v>
      </c>
    </row>
    <row r="39" spans="1:7" x14ac:dyDescent="0.25">
      <c r="A39" s="11" t="s">
        <v>13</v>
      </c>
      <c r="B39" s="11" t="s">
        <v>51</v>
      </c>
      <c r="C39" s="12" t="s">
        <v>23</v>
      </c>
      <c r="D39" s="13">
        <f>INDEX('UBC-97 Parameters'!$C$5:$C$9,MATCH(C39,'UBC-97 Parameters'!$B$5:$B$9,0))</f>
        <v>0.15</v>
      </c>
      <c r="E39" s="13" t="str">
        <f>INDEX('UBC-97 Parameters'!$D$5:$D$9,MATCH(C39,'UBC-97 Parameters'!$B$5:$B$9,0))</f>
        <v>0.08 – 0.16</v>
      </c>
      <c r="F39" s="13">
        <f t="shared" si="2"/>
        <v>0.375</v>
      </c>
      <c r="G39" s="13">
        <f t="shared" si="3"/>
        <v>0.15</v>
      </c>
    </row>
    <row r="40" spans="1:7" x14ac:dyDescent="0.25">
      <c r="A40" s="11" t="s">
        <v>52</v>
      </c>
      <c r="B40" s="11" t="s">
        <v>53</v>
      </c>
      <c r="C40" s="12" t="s">
        <v>15</v>
      </c>
      <c r="D40" s="13">
        <f>INDEX('UBC-97 Parameters'!$C$5:$C$9,MATCH(C40,'UBC-97 Parameters'!$B$5:$B$9,0))</f>
        <v>0.2</v>
      </c>
      <c r="E40" s="13" t="str">
        <f>INDEX('UBC-97 Parameters'!$D$5:$D$9,MATCH(C40,'UBC-97 Parameters'!$B$5:$B$9,0))</f>
        <v>0.16 – 0.24</v>
      </c>
      <c r="F40" s="13">
        <f t="shared" si="2"/>
        <v>0.5</v>
      </c>
      <c r="G40" s="13">
        <f t="shared" si="3"/>
        <v>0.2</v>
      </c>
    </row>
    <row r="41" spans="1:7" x14ac:dyDescent="0.25">
      <c r="A41" s="11" t="s">
        <v>52</v>
      </c>
      <c r="B41" s="11" t="s">
        <v>54</v>
      </c>
      <c r="C41" s="12" t="s">
        <v>15</v>
      </c>
      <c r="D41" s="13">
        <f>INDEX('UBC-97 Parameters'!$C$5:$C$9,MATCH(C41,'UBC-97 Parameters'!$B$5:$B$9,0))</f>
        <v>0.2</v>
      </c>
      <c r="E41" s="13" t="str">
        <f>INDEX('UBC-97 Parameters'!$D$5:$D$9,MATCH(C41,'UBC-97 Parameters'!$B$5:$B$9,0))</f>
        <v>0.16 – 0.24</v>
      </c>
      <c r="F41" s="13">
        <f t="shared" si="2"/>
        <v>0.5</v>
      </c>
      <c r="G41" s="13">
        <f t="shared" si="3"/>
        <v>0.2</v>
      </c>
    </row>
    <row r="42" spans="1:7" x14ac:dyDescent="0.25">
      <c r="A42" s="11" t="s">
        <v>52</v>
      </c>
      <c r="B42" s="11" t="s">
        <v>55</v>
      </c>
      <c r="C42" s="12" t="s">
        <v>15</v>
      </c>
      <c r="D42" s="13">
        <f>INDEX('UBC-97 Parameters'!$C$5:$C$9,MATCH(C42,'UBC-97 Parameters'!$B$5:$B$9,0))</f>
        <v>0.2</v>
      </c>
      <c r="E42" s="13" t="str">
        <f>INDEX('UBC-97 Parameters'!$D$5:$D$9,MATCH(C42,'UBC-97 Parameters'!$B$5:$B$9,0))</f>
        <v>0.16 – 0.24</v>
      </c>
      <c r="F42" s="13">
        <f t="shared" si="2"/>
        <v>0.5</v>
      </c>
      <c r="G42" s="13">
        <f t="shared" si="3"/>
        <v>0.2</v>
      </c>
    </row>
    <row r="43" spans="1:7" x14ac:dyDescent="0.25">
      <c r="A43" s="11" t="s">
        <v>52</v>
      </c>
      <c r="B43" s="11" t="s">
        <v>56</v>
      </c>
      <c r="C43" s="12" t="s">
        <v>15</v>
      </c>
      <c r="D43" s="13">
        <f>INDEX('UBC-97 Parameters'!$C$5:$C$9,MATCH(C43,'UBC-97 Parameters'!$B$5:$B$9,0))</f>
        <v>0.2</v>
      </c>
      <c r="E43" s="13" t="str">
        <f>INDEX('UBC-97 Parameters'!$D$5:$D$9,MATCH(C43,'UBC-97 Parameters'!$B$5:$B$9,0))</f>
        <v>0.16 – 0.24</v>
      </c>
      <c r="F43" s="13">
        <f t="shared" si="2"/>
        <v>0.5</v>
      </c>
      <c r="G43" s="13">
        <f t="shared" si="3"/>
        <v>0.2</v>
      </c>
    </row>
    <row r="44" spans="1:7" x14ac:dyDescent="0.25">
      <c r="A44" s="11" t="s">
        <v>52</v>
      </c>
      <c r="B44" s="11" t="s">
        <v>57</v>
      </c>
      <c r="C44" s="12" t="s">
        <v>15</v>
      </c>
      <c r="D44" s="13">
        <f>INDEX('UBC-97 Parameters'!$C$5:$C$9,MATCH(C44,'UBC-97 Parameters'!$B$5:$B$9,0))</f>
        <v>0.2</v>
      </c>
      <c r="E44" s="13" t="str">
        <f>INDEX('UBC-97 Parameters'!$D$5:$D$9,MATCH(C44,'UBC-97 Parameters'!$B$5:$B$9,0))</f>
        <v>0.16 – 0.24</v>
      </c>
      <c r="F44" s="13">
        <f t="shared" si="2"/>
        <v>0.5</v>
      </c>
      <c r="G44" s="13">
        <f t="shared" si="3"/>
        <v>0.2</v>
      </c>
    </row>
    <row r="45" spans="1:7" x14ac:dyDescent="0.25">
      <c r="A45" s="11" t="s">
        <v>52</v>
      </c>
      <c r="B45" s="11" t="s">
        <v>58</v>
      </c>
      <c r="C45" s="12" t="s">
        <v>15</v>
      </c>
      <c r="D45" s="13">
        <f>INDEX('UBC-97 Parameters'!$C$5:$C$9,MATCH(C45,'UBC-97 Parameters'!$B$5:$B$9,0))</f>
        <v>0.2</v>
      </c>
      <c r="E45" s="13" t="str">
        <f>INDEX('UBC-97 Parameters'!$D$5:$D$9,MATCH(C45,'UBC-97 Parameters'!$B$5:$B$9,0))</f>
        <v>0.16 – 0.24</v>
      </c>
      <c r="F45" s="13">
        <f t="shared" si="2"/>
        <v>0.5</v>
      </c>
      <c r="G45" s="13">
        <f t="shared" si="3"/>
        <v>0.2</v>
      </c>
    </row>
    <row r="46" spans="1:7" x14ac:dyDescent="0.25">
      <c r="A46" s="11" t="s">
        <v>52</v>
      </c>
      <c r="B46" s="11" t="s">
        <v>59</v>
      </c>
      <c r="C46" s="12" t="s">
        <v>15</v>
      </c>
      <c r="D46" s="13">
        <f>INDEX('UBC-97 Parameters'!$C$5:$C$9,MATCH(C46,'UBC-97 Parameters'!$B$5:$B$9,0))</f>
        <v>0.2</v>
      </c>
      <c r="E46" s="13" t="str">
        <f>INDEX('UBC-97 Parameters'!$D$5:$D$9,MATCH(C46,'UBC-97 Parameters'!$B$5:$B$9,0))</f>
        <v>0.16 – 0.24</v>
      </c>
      <c r="F46" s="13">
        <f t="shared" si="2"/>
        <v>0.5</v>
      </c>
      <c r="G46" s="13">
        <f t="shared" si="3"/>
        <v>0.2</v>
      </c>
    </row>
    <row r="47" spans="1:7" x14ac:dyDescent="0.25">
      <c r="A47" s="11" t="s">
        <v>52</v>
      </c>
      <c r="B47" s="11" t="s">
        <v>60</v>
      </c>
      <c r="C47" s="12" t="s">
        <v>23</v>
      </c>
      <c r="D47" s="13">
        <f>INDEX('UBC-97 Parameters'!$C$5:$C$9,MATCH(C47,'UBC-97 Parameters'!$B$5:$B$9,0))</f>
        <v>0.15</v>
      </c>
      <c r="E47" s="13" t="str">
        <f>INDEX('UBC-97 Parameters'!$D$5:$D$9,MATCH(C47,'UBC-97 Parameters'!$B$5:$B$9,0))</f>
        <v>0.08 – 0.16</v>
      </c>
      <c r="F47" s="13">
        <f t="shared" si="2"/>
        <v>0.375</v>
      </c>
      <c r="G47" s="13">
        <f t="shared" si="3"/>
        <v>0.15</v>
      </c>
    </row>
    <row r="48" spans="1:7" x14ac:dyDescent="0.25">
      <c r="A48" s="11" t="s">
        <v>52</v>
      </c>
      <c r="B48" s="11" t="s">
        <v>61</v>
      </c>
      <c r="C48" s="12" t="s">
        <v>23</v>
      </c>
      <c r="D48" s="13">
        <f>INDEX('UBC-97 Parameters'!$C$5:$C$9,MATCH(C48,'UBC-97 Parameters'!$B$5:$B$9,0))</f>
        <v>0.15</v>
      </c>
      <c r="E48" s="13" t="str">
        <f>INDEX('UBC-97 Parameters'!$D$5:$D$9,MATCH(C48,'UBC-97 Parameters'!$B$5:$B$9,0))</f>
        <v>0.08 – 0.16</v>
      </c>
      <c r="F48" s="13">
        <f t="shared" si="2"/>
        <v>0.375</v>
      </c>
      <c r="G48" s="13">
        <f t="shared" si="3"/>
        <v>0.15</v>
      </c>
    </row>
    <row r="49" spans="1:7" x14ac:dyDescent="0.25">
      <c r="A49" s="11" t="s">
        <v>52</v>
      </c>
      <c r="B49" s="11" t="s">
        <v>62</v>
      </c>
      <c r="C49" s="12" t="s">
        <v>23</v>
      </c>
      <c r="D49" s="13">
        <f>INDEX('UBC-97 Parameters'!$C$5:$C$9,MATCH(C49,'UBC-97 Parameters'!$B$5:$B$9,0))</f>
        <v>0.15</v>
      </c>
      <c r="E49" s="13" t="str">
        <f>INDEX('UBC-97 Parameters'!$D$5:$D$9,MATCH(C49,'UBC-97 Parameters'!$B$5:$B$9,0))</f>
        <v>0.08 – 0.16</v>
      </c>
      <c r="F49" s="13">
        <f t="shared" si="2"/>
        <v>0.375</v>
      </c>
      <c r="G49" s="13">
        <f t="shared" si="3"/>
        <v>0.15</v>
      </c>
    </row>
    <row r="50" spans="1:7" x14ac:dyDescent="0.25">
      <c r="A50" s="11" t="s">
        <v>52</v>
      </c>
      <c r="B50" s="11" t="s">
        <v>63</v>
      </c>
      <c r="C50" s="12" t="s">
        <v>23</v>
      </c>
      <c r="D50" s="13">
        <f>INDEX('UBC-97 Parameters'!$C$5:$C$9,MATCH(C50,'UBC-97 Parameters'!$B$5:$B$9,0))</f>
        <v>0.15</v>
      </c>
      <c r="E50" s="13" t="str">
        <f>INDEX('UBC-97 Parameters'!$D$5:$D$9,MATCH(C50,'UBC-97 Parameters'!$B$5:$B$9,0))</f>
        <v>0.08 – 0.16</v>
      </c>
      <c r="F50" s="13">
        <f t="shared" si="2"/>
        <v>0.375</v>
      </c>
      <c r="G50" s="13">
        <f t="shared" si="3"/>
        <v>0.15</v>
      </c>
    </row>
    <row r="51" spans="1:7" x14ac:dyDescent="0.25">
      <c r="A51" s="11" t="s">
        <v>52</v>
      </c>
      <c r="B51" s="11" t="s">
        <v>64</v>
      </c>
      <c r="C51" s="12" t="s">
        <v>23</v>
      </c>
      <c r="D51" s="13">
        <f>INDEX('UBC-97 Parameters'!$C$5:$C$9,MATCH(C51,'UBC-97 Parameters'!$B$5:$B$9,0))</f>
        <v>0.15</v>
      </c>
      <c r="E51" s="13" t="str">
        <f>INDEX('UBC-97 Parameters'!$D$5:$D$9,MATCH(C51,'UBC-97 Parameters'!$B$5:$B$9,0))</f>
        <v>0.08 – 0.16</v>
      </c>
      <c r="F51" s="13">
        <f t="shared" si="2"/>
        <v>0.375</v>
      </c>
      <c r="G51" s="13">
        <f t="shared" si="3"/>
        <v>0.15</v>
      </c>
    </row>
    <row r="52" spans="1:7" x14ac:dyDescent="0.25">
      <c r="A52" s="11" t="s">
        <v>52</v>
      </c>
      <c r="B52" s="11" t="s">
        <v>65</v>
      </c>
      <c r="C52" s="12" t="s">
        <v>23</v>
      </c>
      <c r="D52" s="13">
        <f>INDEX('UBC-97 Parameters'!$C$5:$C$9,MATCH(C52,'UBC-97 Parameters'!$B$5:$B$9,0))</f>
        <v>0.15</v>
      </c>
      <c r="E52" s="13" t="str">
        <f>INDEX('UBC-97 Parameters'!$D$5:$D$9,MATCH(C52,'UBC-97 Parameters'!$B$5:$B$9,0))</f>
        <v>0.08 – 0.16</v>
      </c>
      <c r="F52" s="13">
        <f t="shared" si="2"/>
        <v>0.375</v>
      </c>
      <c r="G52" s="13">
        <f t="shared" si="3"/>
        <v>0.15</v>
      </c>
    </row>
    <row r="53" spans="1:7" x14ac:dyDescent="0.25">
      <c r="A53" s="11" t="s">
        <v>52</v>
      </c>
      <c r="B53" s="11" t="s">
        <v>66</v>
      </c>
      <c r="C53" s="12" t="s">
        <v>23</v>
      </c>
      <c r="D53" s="13">
        <f>INDEX('UBC-97 Parameters'!$C$5:$C$9,MATCH(C53,'UBC-97 Parameters'!$B$5:$B$9,0))</f>
        <v>0.15</v>
      </c>
      <c r="E53" s="13" t="str">
        <f>INDEX('UBC-97 Parameters'!$D$5:$D$9,MATCH(C53,'UBC-97 Parameters'!$B$5:$B$9,0))</f>
        <v>0.08 – 0.16</v>
      </c>
      <c r="F53" s="13">
        <f t="shared" si="2"/>
        <v>0.375</v>
      </c>
      <c r="G53" s="13">
        <f t="shared" si="3"/>
        <v>0.15</v>
      </c>
    </row>
    <row r="54" spans="1:7" x14ac:dyDescent="0.25">
      <c r="A54" s="11" t="s">
        <v>52</v>
      </c>
      <c r="B54" s="11" t="s">
        <v>67</v>
      </c>
      <c r="C54" s="12" t="s">
        <v>15</v>
      </c>
      <c r="D54" s="13">
        <f>INDEX('UBC-97 Parameters'!$C$5:$C$9,MATCH(C54,'UBC-97 Parameters'!$B$5:$B$9,0))</f>
        <v>0.2</v>
      </c>
      <c r="E54" s="13" t="str">
        <f>INDEX('UBC-97 Parameters'!$D$5:$D$9,MATCH(C54,'UBC-97 Parameters'!$B$5:$B$9,0))</f>
        <v>0.16 – 0.24</v>
      </c>
      <c r="F54" s="13">
        <f t="shared" si="2"/>
        <v>0.5</v>
      </c>
      <c r="G54" s="13">
        <f t="shared" si="3"/>
        <v>0.2</v>
      </c>
    </row>
    <row r="55" spans="1:7" x14ac:dyDescent="0.25">
      <c r="A55" s="11" t="s">
        <v>52</v>
      </c>
      <c r="B55" s="11" t="s">
        <v>68</v>
      </c>
      <c r="C55" s="12" t="s">
        <v>23</v>
      </c>
      <c r="D55" s="13">
        <f>INDEX('UBC-97 Parameters'!$C$5:$C$9,MATCH(C55,'UBC-97 Parameters'!$B$5:$B$9,0))</f>
        <v>0.15</v>
      </c>
      <c r="E55" s="13" t="str">
        <f>INDEX('UBC-97 Parameters'!$D$5:$D$9,MATCH(C55,'UBC-97 Parameters'!$B$5:$B$9,0))</f>
        <v>0.08 – 0.16</v>
      </c>
      <c r="F55" s="13">
        <f t="shared" si="2"/>
        <v>0.375</v>
      </c>
      <c r="G55" s="13">
        <f t="shared" si="3"/>
        <v>0.15</v>
      </c>
    </row>
    <row r="56" spans="1:7" x14ac:dyDescent="0.25">
      <c r="A56" s="11" t="s">
        <v>52</v>
      </c>
      <c r="B56" s="11" t="s">
        <v>69</v>
      </c>
      <c r="C56" s="12" t="s">
        <v>23</v>
      </c>
      <c r="D56" s="13">
        <f>INDEX('UBC-97 Parameters'!$C$5:$C$9,MATCH(C56,'UBC-97 Parameters'!$B$5:$B$9,0))</f>
        <v>0.15</v>
      </c>
      <c r="E56" s="13" t="str">
        <f>INDEX('UBC-97 Parameters'!$D$5:$D$9,MATCH(C56,'UBC-97 Parameters'!$B$5:$B$9,0))</f>
        <v>0.08 – 0.16</v>
      </c>
      <c r="F56" s="13">
        <f t="shared" si="2"/>
        <v>0.375</v>
      </c>
      <c r="G56" s="13">
        <f t="shared" si="3"/>
        <v>0.15</v>
      </c>
    </row>
    <row r="57" spans="1:7" x14ac:dyDescent="0.25">
      <c r="A57" s="11" t="s">
        <v>52</v>
      </c>
      <c r="B57" s="11" t="s">
        <v>70</v>
      </c>
      <c r="C57" s="12" t="s">
        <v>15</v>
      </c>
      <c r="D57" s="13">
        <f>INDEX('UBC-97 Parameters'!$C$5:$C$9,MATCH(C57,'UBC-97 Parameters'!$B$5:$B$9,0))</f>
        <v>0.2</v>
      </c>
      <c r="E57" s="13" t="str">
        <f>INDEX('UBC-97 Parameters'!$D$5:$D$9,MATCH(C57,'UBC-97 Parameters'!$B$5:$B$9,0))</f>
        <v>0.16 – 0.24</v>
      </c>
      <c r="F57" s="13">
        <f t="shared" si="2"/>
        <v>0.5</v>
      </c>
      <c r="G57" s="13">
        <f t="shared" si="3"/>
        <v>0.2</v>
      </c>
    </row>
    <row r="58" spans="1:7" x14ac:dyDescent="0.25">
      <c r="A58" s="11" t="s">
        <v>52</v>
      </c>
      <c r="B58" s="11" t="s">
        <v>71</v>
      </c>
      <c r="C58" s="12" t="s">
        <v>23</v>
      </c>
      <c r="D58" s="13">
        <f>INDEX('UBC-97 Parameters'!$C$5:$C$9,MATCH(C58,'UBC-97 Parameters'!$B$5:$B$9,0))</f>
        <v>0.15</v>
      </c>
      <c r="E58" s="13" t="str">
        <f>INDEX('UBC-97 Parameters'!$D$5:$D$9,MATCH(C58,'UBC-97 Parameters'!$B$5:$B$9,0))</f>
        <v>0.08 – 0.16</v>
      </c>
      <c r="F58" s="13">
        <f t="shared" si="2"/>
        <v>0.375</v>
      </c>
      <c r="G58" s="13">
        <f t="shared" si="3"/>
        <v>0.15</v>
      </c>
    </row>
    <row r="59" spans="1:7" x14ac:dyDescent="0.25">
      <c r="A59" s="11" t="s">
        <v>52</v>
      </c>
      <c r="B59" s="11" t="s">
        <v>72</v>
      </c>
      <c r="C59" s="12" t="s">
        <v>23</v>
      </c>
      <c r="D59" s="13">
        <f>INDEX('UBC-97 Parameters'!$C$5:$C$9,MATCH(C59,'UBC-97 Parameters'!$B$5:$B$9,0))</f>
        <v>0.15</v>
      </c>
      <c r="E59" s="13" t="str">
        <f>INDEX('UBC-97 Parameters'!$D$5:$D$9,MATCH(C59,'UBC-97 Parameters'!$B$5:$B$9,0))</f>
        <v>0.08 – 0.16</v>
      </c>
      <c r="F59" s="13">
        <f t="shared" si="2"/>
        <v>0.375</v>
      </c>
      <c r="G59" s="13">
        <f t="shared" si="3"/>
        <v>0.15</v>
      </c>
    </row>
    <row r="60" spans="1:7" x14ac:dyDescent="0.25">
      <c r="A60" s="11" t="s">
        <v>52</v>
      </c>
      <c r="B60" s="11" t="s">
        <v>73</v>
      </c>
      <c r="C60" s="12" t="s">
        <v>23</v>
      </c>
      <c r="D60" s="13">
        <f>INDEX('UBC-97 Parameters'!$C$5:$C$9,MATCH(C60,'UBC-97 Parameters'!$B$5:$B$9,0))</f>
        <v>0.15</v>
      </c>
      <c r="E60" s="13" t="str">
        <f>INDEX('UBC-97 Parameters'!$D$5:$D$9,MATCH(C60,'UBC-97 Parameters'!$B$5:$B$9,0))</f>
        <v>0.08 – 0.16</v>
      </c>
      <c r="F60" s="13">
        <f t="shared" si="2"/>
        <v>0.375</v>
      </c>
      <c r="G60" s="13">
        <f t="shared" si="3"/>
        <v>0.15</v>
      </c>
    </row>
    <row r="61" spans="1:7" x14ac:dyDescent="0.25">
      <c r="A61" s="11" t="s">
        <v>52</v>
      </c>
      <c r="B61" s="11" t="s">
        <v>74</v>
      </c>
      <c r="C61" s="12" t="s">
        <v>23</v>
      </c>
      <c r="D61" s="13">
        <f>INDEX('UBC-97 Parameters'!$C$5:$C$9,MATCH(C61,'UBC-97 Parameters'!$B$5:$B$9,0))</f>
        <v>0.15</v>
      </c>
      <c r="E61" s="13" t="str">
        <f>INDEX('UBC-97 Parameters'!$D$5:$D$9,MATCH(C61,'UBC-97 Parameters'!$B$5:$B$9,0))</f>
        <v>0.08 – 0.16</v>
      </c>
      <c r="F61" s="13">
        <f t="shared" si="2"/>
        <v>0.375</v>
      </c>
      <c r="G61" s="13">
        <f t="shared" si="3"/>
        <v>0.15</v>
      </c>
    </row>
    <row r="62" spans="1:7" x14ac:dyDescent="0.25">
      <c r="A62" s="11" t="s">
        <v>52</v>
      </c>
      <c r="B62" s="11" t="s">
        <v>75</v>
      </c>
      <c r="C62" s="12" t="s">
        <v>23</v>
      </c>
      <c r="D62" s="13">
        <f>INDEX('UBC-97 Parameters'!$C$5:$C$9,MATCH(C62,'UBC-97 Parameters'!$B$5:$B$9,0))</f>
        <v>0.15</v>
      </c>
      <c r="E62" s="13" t="str">
        <f>INDEX('UBC-97 Parameters'!$D$5:$D$9,MATCH(C62,'UBC-97 Parameters'!$B$5:$B$9,0))</f>
        <v>0.08 – 0.16</v>
      </c>
      <c r="F62" s="13">
        <f t="shared" si="2"/>
        <v>0.375</v>
      </c>
      <c r="G62" s="13">
        <f t="shared" si="3"/>
        <v>0.15</v>
      </c>
    </row>
    <row r="63" spans="1:7" x14ac:dyDescent="0.25">
      <c r="A63" s="11" t="s">
        <v>52</v>
      </c>
      <c r="B63" s="11" t="s">
        <v>76</v>
      </c>
      <c r="C63" s="12" t="s">
        <v>23</v>
      </c>
      <c r="D63" s="13">
        <f>INDEX('UBC-97 Parameters'!$C$5:$C$9,MATCH(C63,'UBC-97 Parameters'!$B$5:$B$9,0))</f>
        <v>0.15</v>
      </c>
      <c r="E63" s="13" t="str">
        <f>INDEX('UBC-97 Parameters'!$D$5:$D$9,MATCH(C63,'UBC-97 Parameters'!$B$5:$B$9,0))</f>
        <v>0.08 – 0.16</v>
      </c>
      <c r="F63" s="13">
        <f t="shared" si="2"/>
        <v>0.375</v>
      </c>
      <c r="G63" s="13">
        <f t="shared" si="3"/>
        <v>0.15</v>
      </c>
    </row>
    <row r="64" spans="1:7" x14ac:dyDescent="0.25">
      <c r="A64" s="11" t="s">
        <v>52</v>
      </c>
      <c r="B64" s="11" t="s">
        <v>77</v>
      </c>
      <c r="C64" s="12" t="s">
        <v>23</v>
      </c>
      <c r="D64" s="13">
        <f>INDEX('UBC-97 Parameters'!$C$5:$C$9,MATCH(C64,'UBC-97 Parameters'!$B$5:$B$9,0))</f>
        <v>0.15</v>
      </c>
      <c r="E64" s="13" t="str">
        <f>INDEX('UBC-97 Parameters'!$D$5:$D$9,MATCH(C64,'UBC-97 Parameters'!$B$5:$B$9,0))</f>
        <v>0.08 – 0.16</v>
      </c>
      <c r="F64" s="13">
        <f t="shared" si="2"/>
        <v>0.375</v>
      </c>
      <c r="G64" s="13">
        <f t="shared" si="3"/>
        <v>0.15</v>
      </c>
    </row>
    <row r="65" spans="1:7" x14ac:dyDescent="0.25">
      <c r="A65" s="11" t="s">
        <v>52</v>
      </c>
      <c r="B65" s="11" t="s">
        <v>78</v>
      </c>
      <c r="C65" s="12" t="s">
        <v>23</v>
      </c>
      <c r="D65" s="13">
        <f>INDEX('UBC-97 Parameters'!$C$5:$C$9,MATCH(C65,'UBC-97 Parameters'!$B$5:$B$9,0))</f>
        <v>0.15</v>
      </c>
      <c r="E65" s="13" t="str">
        <f>INDEX('UBC-97 Parameters'!$D$5:$D$9,MATCH(C65,'UBC-97 Parameters'!$B$5:$B$9,0))</f>
        <v>0.08 – 0.16</v>
      </c>
      <c r="F65" s="13">
        <f t="shared" si="2"/>
        <v>0.375</v>
      </c>
      <c r="G65" s="13">
        <f t="shared" si="3"/>
        <v>0.15</v>
      </c>
    </row>
    <row r="66" spans="1:7" x14ac:dyDescent="0.25">
      <c r="A66" s="11" t="s">
        <v>52</v>
      </c>
      <c r="B66" s="11" t="s">
        <v>79</v>
      </c>
      <c r="C66" s="12" t="s">
        <v>23</v>
      </c>
      <c r="D66" s="13">
        <f>INDEX('UBC-97 Parameters'!$C$5:$C$9,MATCH(C66,'UBC-97 Parameters'!$B$5:$B$9,0))</f>
        <v>0.15</v>
      </c>
      <c r="E66" s="13" t="str">
        <f>INDEX('UBC-97 Parameters'!$D$5:$D$9,MATCH(C66,'UBC-97 Parameters'!$B$5:$B$9,0))</f>
        <v>0.08 – 0.16</v>
      </c>
      <c r="F66" s="13">
        <f t="shared" si="2"/>
        <v>0.375</v>
      </c>
      <c r="G66" s="13">
        <f t="shared" si="3"/>
        <v>0.15</v>
      </c>
    </row>
    <row r="67" spans="1:7" x14ac:dyDescent="0.25">
      <c r="A67" s="11" t="s">
        <v>52</v>
      </c>
      <c r="B67" s="11" t="s">
        <v>80</v>
      </c>
      <c r="C67" s="12" t="s">
        <v>15</v>
      </c>
      <c r="D67" s="13">
        <f>INDEX('UBC-97 Parameters'!$C$5:$C$9,MATCH(C67,'UBC-97 Parameters'!$B$5:$B$9,0))</f>
        <v>0.2</v>
      </c>
      <c r="E67" s="13" t="str">
        <f>INDEX('UBC-97 Parameters'!$D$5:$D$9,MATCH(C67,'UBC-97 Parameters'!$B$5:$B$9,0))</f>
        <v>0.16 – 0.24</v>
      </c>
      <c r="F67" s="13">
        <f t="shared" si="2"/>
        <v>0.5</v>
      </c>
      <c r="G67" s="13">
        <f t="shared" si="3"/>
        <v>0.2</v>
      </c>
    </row>
    <row r="68" spans="1:7" x14ac:dyDescent="0.25">
      <c r="A68" s="11" t="s">
        <v>52</v>
      </c>
      <c r="B68" s="11" t="s">
        <v>81</v>
      </c>
      <c r="C68" s="12" t="s">
        <v>23</v>
      </c>
      <c r="D68" s="13">
        <f>INDEX('UBC-97 Parameters'!$C$5:$C$9,MATCH(C68,'UBC-97 Parameters'!$B$5:$B$9,0))</f>
        <v>0.15</v>
      </c>
      <c r="E68" s="13" t="str">
        <f>INDEX('UBC-97 Parameters'!$D$5:$D$9,MATCH(C68,'UBC-97 Parameters'!$B$5:$B$9,0))</f>
        <v>0.08 – 0.16</v>
      </c>
      <c r="F68" s="13">
        <f t="shared" ref="F68:F99" si="4">ROUND(D68*2.5,3)</f>
        <v>0.375</v>
      </c>
      <c r="G68" s="13">
        <f t="shared" ref="G68:G99" si="5">ROUND(D68*1,3)</f>
        <v>0.15</v>
      </c>
    </row>
    <row r="69" spans="1:7" x14ac:dyDescent="0.25">
      <c r="A69" s="11" t="s">
        <v>52</v>
      </c>
      <c r="B69" s="11" t="s">
        <v>82</v>
      </c>
      <c r="C69" s="12" t="s">
        <v>23</v>
      </c>
      <c r="D69" s="13">
        <f>INDEX('UBC-97 Parameters'!$C$5:$C$9,MATCH(C69,'UBC-97 Parameters'!$B$5:$B$9,0))</f>
        <v>0.15</v>
      </c>
      <c r="E69" s="13" t="str">
        <f>INDEX('UBC-97 Parameters'!$D$5:$D$9,MATCH(C69,'UBC-97 Parameters'!$B$5:$B$9,0))</f>
        <v>0.08 – 0.16</v>
      </c>
      <c r="F69" s="13">
        <f t="shared" si="4"/>
        <v>0.375</v>
      </c>
      <c r="G69" s="13">
        <f t="shared" si="5"/>
        <v>0.15</v>
      </c>
    </row>
    <row r="70" spans="1:7" x14ac:dyDescent="0.25">
      <c r="A70" s="11" t="s">
        <v>83</v>
      </c>
      <c r="B70" s="11" t="s">
        <v>84</v>
      </c>
      <c r="C70" s="12" t="s">
        <v>85</v>
      </c>
      <c r="D70" s="13">
        <f>INDEX('UBC-97 Parameters'!$C$5:$C$9,MATCH(C70,'UBC-97 Parameters'!$B$5:$B$9,0))</f>
        <v>0.4</v>
      </c>
      <c r="E70" s="13" t="str">
        <f>INDEX('UBC-97 Parameters'!$D$5:$D$9,MATCH(C70,'UBC-97 Parameters'!$B$5:$B$9,0))</f>
        <v>&gt; 0.32</v>
      </c>
      <c r="F70" s="13">
        <f t="shared" si="4"/>
        <v>1</v>
      </c>
      <c r="G70" s="13">
        <f t="shared" si="5"/>
        <v>0.4</v>
      </c>
    </row>
    <row r="71" spans="1:7" x14ac:dyDescent="0.25">
      <c r="A71" s="11" t="s">
        <v>83</v>
      </c>
      <c r="B71" s="11" t="s">
        <v>86</v>
      </c>
      <c r="C71" s="12" t="s">
        <v>85</v>
      </c>
      <c r="D71" s="13">
        <f>INDEX('UBC-97 Parameters'!$C$5:$C$9,MATCH(C71,'UBC-97 Parameters'!$B$5:$B$9,0))</f>
        <v>0.4</v>
      </c>
      <c r="E71" s="13" t="str">
        <f>INDEX('UBC-97 Parameters'!$D$5:$D$9,MATCH(C71,'UBC-97 Parameters'!$B$5:$B$9,0))</f>
        <v>&gt; 0.32</v>
      </c>
      <c r="F71" s="13">
        <f t="shared" si="4"/>
        <v>1</v>
      </c>
      <c r="G71" s="13">
        <f t="shared" si="5"/>
        <v>0.4</v>
      </c>
    </row>
    <row r="72" spans="1:7" x14ac:dyDescent="0.25">
      <c r="A72" s="11" t="s">
        <v>83</v>
      </c>
      <c r="B72" s="11" t="s">
        <v>87</v>
      </c>
      <c r="C72" s="12" t="s">
        <v>88</v>
      </c>
      <c r="D72" s="13">
        <f>INDEX('UBC-97 Parameters'!$C$5:$C$9,MATCH(C72,'UBC-97 Parameters'!$B$5:$B$9,0))</f>
        <v>0.3</v>
      </c>
      <c r="E72" s="13" t="str">
        <f>INDEX('UBC-97 Parameters'!$D$5:$D$9,MATCH(C72,'UBC-97 Parameters'!$B$5:$B$9,0))</f>
        <v>0.24 – 0.32</v>
      </c>
      <c r="F72" s="13">
        <f t="shared" si="4"/>
        <v>0.75</v>
      </c>
      <c r="G72" s="13">
        <f t="shared" si="5"/>
        <v>0.3</v>
      </c>
    </row>
    <row r="73" spans="1:7" x14ac:dyDescent="0.25">
      <c r="A73" s="11" t="s">
        <v>83</v>
      </c>
      <c r="B73" s="11" t="s">
        <v>89</v>
      </c>
      <c r="C73" s="12" t="s">
        <v>88</v>
      </c>
      <c r="D73" s="13">
        <f>INDEX('UBC-97 Parameters'!$C$5:$C$9,MATCH(C73,'UBC-97 Parameters'!$B$5:$B$9,0))</f>
        <v>0.3</v>
      </c>
      <c r="E73" s="13" t="str">
        <f>INDEX('UBC-97 Parameters'!$D$5:$D$9,MATCH(C73,'UBC-97 Parameters'!$B$5:$B$9,0))</f>
        <v>0.24 – 0.32</v>
      </c>
      <c r="F73" s="13">
        <f t="shared" si="4"/>
        <v>0.75</v>
      </c>
      <c r="G73" s="13">
        <f t="shared" si="5"/>
        <v>0.3</v>
      </c>
    </row>
    <row r="74" spans="1:7" x14ac:dyDescent="0.25">
      <c r="A74" s="11" t="s">
        <v>83</v>
      </c>
      <c r="B74" s="11" t="s">
        <v>90</v>
      </c>
      <c r="C74" s="12" t="s">
        <v>88</v>
      </c>
      <c r="D74" s="13">
        <f>INDEX('UBC-97 Parameters'!$C$5:$C$9,MATCH(C74,'UBC-97 Parameters'!$B$5:$B$9,0))</f>
        <v>0.3</v>
      </c>
      <c r="E74" s="13" t="str">
        <f>INDEX('UBC-97 Parameters'!$D$5:$D$9,MATCH(C74,'UBC-97 Parameters'!$B$5:$B$9,0))</f>
        <v>0.24 – 0.32</v>
      </c>
      <c r="F74" s="13">
        <f t="shared" si="4"/>
        <v>0.75</v>
      </c>
      <c r="G74" s="13">
        <f t="shared" si="5"/>
        <v>0.3</v>
      </c>
    </row>
    <row r="75" spans="1:7" x14ac:dyDescent="0.25">
      <c r="A75" s="11" t="s">
        <v>83</v>
      </c>
      <c r="B75" s="11" t="s">
        <v>91</v>
      </c>
      <c r="C75" s="12" t="s">
        <v>88</v>
      </c>
      <c r="D75" s="13">
        <f>INDEX('UBC-97 Parameters'!$C$5:$C$9,MATCH(C75,'UBC-97 Parameters'!$B$5:$B$9,0))</f>
        <v>0.3</v>
      </c>
      <c r="E75" s="13" t="str">
        <f>INDEX('UBC-97 Parameters'!$D$5:$D$9,MATCH(C75,'UBC-97 Parameters'!$B$5:$B$9,0))</f>
        <v>0.24 – 0.32</v>
      </c>
      <c r="F75" s="13">
        <f t="shared" si="4"/>
        <v>0.75</v>
      </c>
      <c r="G75" s="13">
        <f t="shared" si="5"/>
        <v>0.3</v>
      </c>
    </row>
    <row r="76" spans="1:7" x14ac:dyDescent="0.25">
      <c r="A76" s="11" t="s">
        <v>83</v>
      </c>
      <c r="B76" s="11" t="s">
        <v>92</v>
      </c>
      <c r="C76" s="12" t="s">
        <v>15</v>
      </c>
      <c r="D76" s="13">
        <f>INDEX('UBC-97 Parameters'!$C$5:$C$9,MATCH(C76,'UBC-97 Parameters'!$B$5:$B$9,0))</f>
        <v>0.2</v>
      </c>
      <c r="E76" s="13" t="str">
        <f>INDEX('UBC-97 Parameters'!$D$5:$D$9,MATCH(C76,'UBC-97 Parameters'!$B$5:$B$9,0))</f>
        <v>0.16 – 0.24</v>
      </c>
      <c r="F76" s="13">
        <f t="shared" si="4"/>
        <v>0.5</v>
      </c>
      <c r="G76" s="13">
        <f t="shared" si="5"/>
        <v>0.2</v>
      </c>
    </row>
    <row r="77" spans="1:7" x14ac:dyDescent="0.25">
      <c r="A77" s="11" t="s">
        <v>83</v>
      </c>
      <c r="B77" s="11" t="s">
        <v>93</v>
      </c>
      <c r="C77" s="12" t="s">
        <v>88</v>
      </c>
      <c r="D77" s="13">
        <f>INDEX('UBC-97 Parameters'!$C$5:$C$9,MATCH(C77,'UBC-97 Parameters'!$B$5:$B$9,0))</f>
        <v>0.3</v>
      </c>
      <c r="E77" s="13" t="str">
        <f>INDEX('UBC-97 Parameters'!$D$5:$D$9,MATCH(C77,'UBC-97 Parameters'!$B$5:$B$9,0))</f>
        <v>0.24 – 0.32</v>
      </c>
      <c r="F77" s="13">
        <f t="shared" si="4"/>
        <v>0.75</v>
      </c>
      <c r="G77" s="13">
        <f t="shared" si="5"/>
        <v>0.3</v>
      </c>
    </row>
    <row r="78" spans="1:7" x14ac:dyDescent="0.25">
      <c r="A78" s="11" t="s">
        <v>83</v>
      </c>
      <c r="B78" s="11" t="s">
        <v>94</v>
      </c>
      <c r="C78" s="12" t="s">
        <v>88</v>
      </c>
      <c r="D78" s="13">
        <f>INDEX('UBC-97 Parameters'!$C$5:$C$9,MATCH(C78,'UBC-97 Parameters'!$B$5:$B$9,0))</f>
        <v>0.3</v>
      </c>
      <c r="E78" s="13" t="str">
        <f>INDEX('UBC-97 Parameters'!$D$5:$D$9,MATCH(C78,'UBC-97 Parameters'!$B$5:$B$9,0))</f>
        <v>0.24 – 0.32</v>
      </c>
      <c r="F78" s="13">
        <f t="shared" si="4"/>
        <v>0.75</v>
      </c>
      <c r="G78" s="13">
        <f t="shared" si="5"/>
        <v>0.3</v>
      </c>
    </row>
    <row r="79" spans="1:7" x14ac:dyDescent="0.25">
      <c r="A79" s="11" t="s">
        <v>83</v>
      </c>
      <c r="B79" s="11" t="s">
        <v>95</v>
      </c>
      <c r="C79" s="12" t="s">
        <v>88</v>
      </c>
      <c r="D79" s="13">
        <f>INDEX('UBC-97 Parameters'!$C$5:$C$9,MATCH(C79,'UBC-97 Parameters'!$B$5:$B$9,0))</f>
        <v>0.3</v>
      </c>
      <c r="E79" s="13" t="str">
        <f>INDEX('UBC-97 Parameters'!$D$5:$D$9,MATCH(C79,'UBC-97 Parameters'!$B$5:$B$9,0))</f>
        <v>0.24 – 0.32</v>
      </c>
      <c r="F79" s="13">
        <f t="shared" si="4"/>
        <v>0.75</v>
      </c>
      <c r="G79" s="13">
        <f t="shared" si="5"/>
        <v>0.3</v>
      </c>
    </row>
    <row r="80" spans="1:7" x14ac:dyDescent="0.25">
      <c r="A80" s="11" t="s">
        <v>83</v>
      </c>
      <c r="B80" s="11" t="s">
        <v>96</v>
      </c>
      <c r="C80" s="12" t="s">
        <v>15</v>
      </c>
      <c r="D80" s="13">
        <f>INDEX('UBC-97 Parameters'!$C$5:$C$9,MATCH(C80,'UBC-97 Parameters'!$B$5:$B$9,0))</f>
        <v>0.2</v>
      </c>
      <c r="E80" s="13" t="str">
        <f>INDEX('UBC-97 Parameters'!$D$5:$D$9,MATCH(C80,'UBC-97 Parameters'!$B$5:$B$9,0))</f>
        <v>0.16 – 0.24</v>
      </c>
      <c r="F80" s="13">
        <f t="shared" si="4"/>
        <v>0.5</v>
      </c>
      <c r="G80" s="13">
        <f t="shared" si="5"/>
        <v>0.2</v>
      </c>
    </row>
    <row r="81" spans="1:7" x14ac:dyDescent="0.25">
      <c r="A81" s="11" t="s">
        <v>83</v>
      </c>
      <c r="B81" s="11" t="s">
        <v>97</v>
      </c>
      <c r="C81" s="12" t="s">
        <v>15</v>
      </c>
      <c r="D81" s="13">
        <f>INDEX('UBC-97 Parameters'!$C$5:$C$9,MATCH(C81,'UBC-97 Parameters'!$B$5:$B$9,0))</f>
        <v>0.2</v>
      </c>
      <c r="E81" s="13" t="str">
        <f>INDEX('UBC-97 Parameters'!$D$5:$D$9,MATCH(C81,'UBC-97 Parameters'!$B$5:$B$9,0))</f>
        <v>0.16 – 0.24</v>
      </c>
      <c r="F81" s="13">
        <f t="shared" si="4"/>
        <v>0.5</v>
      </c>
      <c r="G81" s="13">
        <f t="shared" si="5"/>
        <v>0.2</v>
      </c>
    </row>
    <row r="82" spans="1:7" x14ac:dyDescent="0.25">
      <c r="A82" s="11" t="s">
        <v>83</v>
      </c>
      <c r="B82" s="11" t="s">
        <v>98</v>
      </c>
      <c r="C82" s="12" t="s">
        <v>15</v>
      </c>
      <c r="D82" s="13">
        <f>INDEX('UBC-97 Parameters'!$C$5:$C$9,MATCH(C82,'UBC-97 Parameters'!$B$5:$B$9,0))</f>
        <v>0.2</v>
      </c>
      <c r="E82" s="13" t="str">
        <f>INDEX('UBC-97 Parameters'!$D$5:$D$9,MATCH(C82,'UBC-97 Parameters'!$B$5:$B$9,0))</f>
        <v>0.16 – 0.24</v>
      </c>
      <c r="F82" s="13">
        <f t="shared" si="4"/>
        <v>0.5</v>
      </c>
      <c r="G82" s="13">
        <f t="shared" si="5"/>
        <v>0.2</v>
      </c>
    </row>
    <row r="83" spans="1:7" x14ac:dyDescent="0.25">
      <c r="A83" s="11" t="s">
        <v>83</v>
      </c>
      <c r="B83" s="11" t="s">
        <v>99</v>
      </c>
      <c r="C83" s="12" t="s">
        <v>15</v>
      </c>
      <c r="D83" s="13">
        <f>INDEX('UBC-97 Parameters'!$C$5:$C$9,MATCH(C83,'UBC-97 Parameters'!$B$5:$B$9,0))</f>
        <v>0.2</v>
      </c>
      <c r="E83" s="13" t="str">
        <f>INDEX('UBC-97 Parameters'!$D$5:$D$9,MATCH(C83,'UBC-97 Parameters'!$B$5:$B$9,0))</f>
        <v>0.16 – 0.24</v>
      </c>
      <c r="F83" s="13">
        <f t="shared" si="4"/>
        <v>0.5</v>
      </c>
      <c r="G83" s="13">
        <f t="shared" si="5"/>
        <v>0.2</v>
      </c>
    </row>
    <row r="84" spans="1:7" x14ac:dyDescent="0.25">
      <c r="A84" s="11" t="s">
        <v>83</v>
      </c>
      <c r="B84" s="11" t="s">
        <v>100</v>
      </c>
      <c r="C84" s="12" t="s">
        <v>15</v>
      </c>
      <c r="D84" s="13">
        <f>INDEX('UBC-97 Parameters'!$C$5:$C$9,MATCH(C84,'UBC-97 Parameters'!$B$5:$B$9,0))</f>
        <v>0.2</v>
      </c>
      <c r="E84" s="13" t="str">
        <f>INDEX('UBC-97 Parameters'!$D$5:$D$9,MATCH(C84,'UBC-97 Parameters'!$B$5:$B$9,0))</f>
        <v>0.16 – 0.24</v>
      </c>
      <c r="F84" s="13">
        <f t="shared" si="4"/>
        <v>0.5</v>
      </c>
      <c r="G84" s="13">
        <f t="shared" si="5"/>
        <v>0.2</v>
      </c>
    </row>
    <row r="85" spans="1:7" x14ac:dyDescent="0.25">
      <c r="A85" s="11" t="s">
        <v>83</v>
      </c>
      <c r="B85" s="11" t="s">
        <v>101</v>
      </c>
      <c r="C85" s="12" t="s">
        <v>15</v>
      </c>
      <c r="D85" s="13">
        <f>INDEX('UBC-97 Parameters'!$C$5:$C$9,MATCH(C85,'UBC-97 Parameters'!$B$5:$B$9,0))</f>
        <v>0.2</v>
      </c>
      <c r="E85" s="13" t="str">
        <f>INDEX('UBC-97 Parameters'!$D$5:$D$9,MATCH(C85,'UBC-97 Parameters'!$B$5:$B$9,0))</f>
        <v>0.16 – 0.24</v>
      </c>
      <c r="F85" s="13">
        <f t="shared" si="4"/>
        <v>0.5</v>
      </c>
      <c r="G85" s="13">
        <f t="shared" si="5"/>
        <v>0.2</v>
      </c>
    </row>
    <row r="86" spans="1:7" x14ac:dyDescent="0.25">
      <c r="A86" s="11" t="s">
        <v>83</v>
      </c>
      <c r="B86" s="11" t="s">
        <v>102</v>
      </c>
      <c r="C86" s="12" t="s">
        <v>15</v>
      </c>
      <c r="D86" s="13">
        <f>INDEX('UBC-97 Parameters'!$C$5:$C$9,MATCH(C86,'UBC-97 Parameters'!$B$5:$B$9,0))</f>
        <v>0.2</v>
      </c>
      <c r="E86" s="13" t="str">
        <f>INDEX('UBC-97 Parameters'!$D$5:$D$9,MATCH(C86,'UBC-97 Parameters'!$B$5:$B$9,0))</f>
        <v>0.16 – 0.24</v>
      </c>
      <c r="F86" s="13">
        <f t="shared" si="4"/>
        <v>0.5</v>
      </c>
      <c r="G86" s="13">
        <f t="shared" si="5"/>
        <v>0.2</v>
      </c>
    </row>
    <row r="87" spans="1:7" x14ac:dyDescent="0.25">
      <c r="A87" s="11" t="s">
        <v>83</v>
      </c>
      <c r="B87" s="11" t="s">
        <v>103</v>
      </c>
      <c r="C87" s="12" t="s">
        <v>15</v>
      </c>
      <c r="D87" s="13">
        <f>INDEX('UBC-97 Parameters'!$C$5:$C$9,MATCH(C87,'UBC-97 Parameters'!$B$5:$B$9,0))</f>
        <v>0.2</v>
      </c>
      <c r="E87" s="13" t="str">
        <f>INDEX('UBC-97 Parameters'!$D$5:$D$9,MATCH(C87,'UBC-97 Parameters'!$B$5:$B$9,0))</f>
        <v>0.16 – 0.24</v>
      </c>
      <c r="F87" s="13">
        <f t="shared" si="4"/>
        <v>0.5</v>
      </c>
      <c r="G87" s="13">
        <f t="shared" si="5"/>
        <v>0.2</v>
      </c>
    </row>
    <row r="88" spans="1:7" x14ac:dyDescent="0.25">
      <c r="A88" s="11" t="s">
        <v>83</v>
      </c>
      <c r="B88" s="11" t="s">
        <v>104</v>
      </c>
      <c r="C88" s="12" t="s">
        <v>15</v>
      </c>
      <c r="D88" s="13">
        <f>INDEX('UBC-97 Parameters'!$C$5:$C$9,MATCH(C88,'UBC-97 Parameters'!$B$5:$B$9,0))</f>
        <v>0.2</v>
      </c>
      <c r="E88" s="13" t="str">
        <f>INDEX('UBC-97 Parameters'!$D$5:$D$9,MATCH(C88,'UBC-97 Parameters'!$B$5:$B$9,0))</f>
        <v>0.16 – 0.24</v>
      </c>
      <c r="F88" s="13">
        <f t="shared" si="4"/>
        <v>0.5</v>
      </c>
      <c r="G88" s="13">
        <f t="shared" si="5"/>
        <v>0.2</v>
      </c>
    </row>
    <row r="89" spans="1:7" x14ac:dyDescent="0.25">
      <c r="A89" s="11" t="s">
        <v>83</v>
      </c>
      <c r="B89" s="11" t="s">
        <v>105</v>
      </c>
      <c r="C89" s="12" t="s">
        <v>23</v>
      </c>
      <c r="D89" s="13">
        <f>INDEX('UBC-97 Parameters'!$C$5:$C$9,MATCH(C89,'UBC-97 Parameters'!$B$5:$B$9,0))</f>
        <v>0.15</v>
      </c>
      <c r="E89" s="13" t="str">
        <f>INDEX('UBC-97 Parameters'!$D$5:$D$9,MATCH(C89,'UBC-97 Parameters'!$B$5:$B$9,0))</f>
        <v>0.08 – 0.16</v>
      </c>
      <c r="F89" s="13">
        <f t="shared" si="4"/>
        <v>0.375</v>
      </c>
      <c r="G89" s="13">
        <f t="shared" si="5"/>
        <v>0.15</v>
      </c>
    </row>
    <row r="90" spans="1:7" x14ac:dyDescent="0.25">
      <c r="A90" s="11" t="s">
        <v>83</v>
      </c>
      <c r="B90" s="11" t="s">
        <v>106</v>
      </c>
      <c r="C90" s="12" t="s">
        <v>15</v>
      </c>
      <c r="D90" s="13">
        <f>INDEX('UBC-97 Parameters'!$C$5:$C$9,MATCH(C90,'UBC-97 Parameters'!$B$5:$B$9,0))</f>
        <v>0.2</v>
      </c>
      <c r="E90" s="13" t="str">
        <f>INDEX('UBC-97 Parameters'!$D$5:$D$9,MATCH(C90,'UBC-97 Parameters'!$B$5:$B$9,0))</f>
        <v>0.16 – 0.24</v>
      </c>
      <c r="F90" s="13">
        <f t="shared" si="4"/>
        <v>0.5</v>
      </c>
      <c r="G90" s="13">
        <f t="shared" si="5"/>
        <v>0.2</v>
      </c>
    </row>
    <row r="91" spans="1:7" x14ac:dyDescent="0.25">
      <c r="A91" s="11" t="s">
        <v>83</v>
      </c>
      <c r="B91" s="11" t="s">
        <v>107</v>
      </c>
      <c r="C91" s="12" t="s">
        <v>15</v>
      </c>
      <c r="D91" s="13">
        <f>INDEX('UBC-97 Parameters'!$C$5:$C$9,MATCH(C91,'UBC-97 Parameters'!$B$5:$B$9,0))</f>
        <v>0.2</v>
      </c>
      <c r="E91" s="13" t="str">
        <f>INDEX('UBC-97 Parameters'!$D$5:$D$9,MATCH(C91,'UBC-97 Parameters'!$B$5:$B$9,0))</f>
        <v>0.16 – 0.24</v>
      </c>
      <c r="F91" s="13">
        <f t="shared" si="4"/>
        <v>0.5</v>
      </c>
      <c r="G91" s="13">
        <f t="shared" si="5"/>
        <v>0.2</v>
      </c>
    </row>
    <row r="92" spans="1:7" x14ac:dyDescent="0.25">
      <c r="A92" s="11" t="s">
        <v>83</v>
      </c>
      <c r="B92" s="11" t="s">
        <v>108</v>
      </c>
      <c r="C92" s="12" t="s">
        <v>15</v>
      </c>
      <c r="D92" s="13">
        <f>INDEX('UBC-97 Parameters'!$C$5:$C$9,MATCH(C92,'UBC-97 Parameters'!$B$5:$B$9,0))</f>
        <v>0.2</v>
      </c>
      <c r="E92" s="13" t="str">
        <f>INDEX('UBC-97 Parameters'!$D$5:$D$9,MATCH(C92,'UBC-97 Parameters'!$B$5:$B$9,0))</f>
        <v>0.16 – 0.24</v>
      </c>
      <c r="F92" s="13">
        <f t="shared" si="4"/>
        <v>0.5</v>
      </c>
      <c r="G92" s="13">
        <f t="shared" si="5"/>
        <v>0.2</v>
      </c>
    </row>
    <row r="93" spans="1:7" x14ac:dyDescent="0.25">
      <c r="A93" s="11" t="s">
        <v>83</v>
      </c>
      <c r="B93" s="11" t="s">
        <v>109</v>
      </c>
      <c r="C93" s="12" t="s">
        <v>15</v>
      </c>
      <c r="D93" s="13">
        <f>INDEX('UBC-97 Parameters'!$C$5:$C$9,MATCH(C93,'UBC-97 Parameters'!$B$5:$B$9,0))</f>
        <v>0.2</v>
      </c>
      <c r="E93" s="13" t="str">
        <f>INDEX('UBC-97 Parameters'!$D$5:$D$9,MATCH(C93,'UBC-97 Parameters'!$B$5:$B$9,0))</f>
        <v>0.16 – 0.24</v>
      </c>
      <c r="F93" s="13">
        <f t="shared" si="4"/>
        <v>0.5</v>
      </c>
      <c r="G93" s="13">
        <f t="shared" si="5"/>
        <v>0.2</v>
      </c>
    </row>
    <row r="94" spans="1:7" x14ac:dyDescent="0.25">
      <c r="A94" s="11" t="s">
        <v>83</v>
      </c>
      <c r="B94" s="11" t="s">
        <v>110</v>
      </c>
      <c r="C94" s="12" t="s">
        <v>15</v>
      </c>
      <c r="D94" s="13">
        <f>INDEX('UBC-97 Parameters'!$C$5:$C$9,MATCH(C94,'UBC-97 Parameters'!$B$5:$B$9,0))</f>
        <v>0.2</v>
      </c>
      <c r="E94" s="13" t="str">
        <f>INDEX('UBC-97 Parameters'!$D$5:$D$9,MATCH(C94,'UBC-97 Parameters'!$B$5:$B$9,0))</f>
        <v>0.16 – 0.24</v>
      </c>
      <c r="F94" s="13">
        <f t="shared" si="4"/>
        <v>0.5</v>
      </c>
      <c r="G94" s="13">
        <f t="shared" si="5"/>
        <v>0.2</v>
      </c>
    </row>
    <row r="95" spans="1:7" x14ac:dyDescent="0.25">
      <c r="A95" s="11" t="s">
        <v>83</v>
      </c>
      <c r="B95" s="11" t="s">
        <v>111</v>
      </c>
      <c r="C95" s="12" t="s">
        <v>15</v>
      </c>
      <c r="D95" s="13">
        <f>INDEX('UBC-97 Parameters'!$C$5:$C$9,MATCH(C95,'UBC-97 Parameters'!$B$5:$B$9,0))</f>
        <v>0.2</v>
      </c>
      <c r="E95" s="13" t="str">
        <f>INDEX('UBC-97 Parameters'!$D$5:$D$9,MATCH(C95,'UBC-97 Parameters'!$B$5:$B$9,0))</f>
        <v>0.16 – 0.24</v>
      </c>
      <c r="F95" s="13">
        <f t="shared" si="4"/>
        <v>0.5</v>
      </c>
      <c r="G95" s="13">
        <f t="shared" si="5"/>
        <v>0.2</v>
      </c>
    </row>
    <row r="96" spans="1:7" x14ac:dyDescent="0.25">
      <c r="A96" s="11" t="s">
        <v>83</v>
      </c>
      <c r="B96" s="11" t="s">
        <v>112</v>
      </c>
      <c r="C96" s="12" t="s">
        <v>88</v>
      </c>
      <c r="D96" s="13">
        <f>INDEX('UBC-97 Parameters'!$C$5:$C$9,MATCH(C96,'UBC-97 Parameters'!$B$5:$B$9,0))</f>
        <v>0.3</v>
      </c>
      <c r="E96" s="13" t="str">
        <f>INDEX('UBC-97 Parameters'!$D$5:$D$9,MATCH(C96,'UBC-97 Parameters'!$B$5:$B$9,0))</f>
        <v>0.24 – 0.32</v>
      </c>
      <c r="F96" s="13">
        <f t="shared" si="4"/>
        <v>0.75</v>
      </c>
      <c r="G96" s="13">
        <f t="shared" si="5"/>
        <v>0.3</v>
      </c>
    </row>
    <row r="97" spans="1:7" x14ac:dyDescent="0.25">
      <c r="A97" s="11" t="s">
        <v>83</v>
      </c>
      <c r="B97" s="11" t="s">
        <v>113</v>
      </c>
      <c r="C97" s="12" t="s">
        <v>88</v>
      </c>
      <c r="D97" s="13">
        <f>INDEX('UBC-97 Parameters'!$C$5:$C$9,MATCH(C97,'UBC-97 Parameters'!$B$5:$B$9,0))</f>
        <v>0.3</v>
      </c>
      <c r="E97" s="13" t="str">
        <f>INDEX('UBC-97 Parameters'!$D$5:$D$9,MATCH(C97,'UBC-97 Parameters'!$B$5:$B$9,0))</f>
        <v>0.24 – 0.32</v>
      </c>
      <c r="F97" s="13">
        <f t="shared" si="4"/>
        <v>0.75</v>
      </c>
      <c r="G97" s="13">
        <f t="shared" si="5"/>
        <v>0.3</v>
      </c>
    </row>
    <row r="98" spans="1:7" x14ac:dyDescent="0.25">
      <c r="A98" s="11" t="s">
        <v>83</v>
      </c>
      <c r="B98" s="11" t="s">
        <v>114</v>
      </c>
      <c r="C98" s="12" t="s">
        <v>88</v>
      </c>
      <c r="D98" s="13">
        <f>INDEX('UBC-97 Parameters'!$C$5:$C$9,MATCH(C98,'UBC-97 Parameters'!$B$5:$B$9,0))</f>
        <v>0.3</v>
      </c>
      <c r="E98" s="13" t="str">
        <f>INDEX('UBC-97 Parameters'!$D$5:$D$9,MATCH(C98,'UBC-97 Parameters'!$B$5:$B$9,0))</f>
        <v>0.24 – 0.32</v>
      </c>
      <c r="F98" s="13">
        <f t="shared" si="4"/>
        <v>0.75</v>
      </c>
      <c r="G98" s="13">
        <f t="shared" si="5"/>
        <v>0.3</v>
      </c>
    </row>
    <row r="99" spans="1:7" x14ac:dyDescent="0.25">
      <c r="A99" s="11" t="s">
        <v>83</v>
      </c>
      <c r="B99" s="11" t="s">
        <v>115</v>
      </c>
      <c r="C99" s="12" t="s">
        <v>88</v>
      </c>
      <c r="D99" s="13">
        <f>INDEX('UBC-97 Parameters'!$C$5:$C$9,MATCH(C99,'UBC-97 Parameters'!$B$5:$B$9,0))</f>
        <v>0.3</v>
      </c>
      <c r="E99" s="13" t="str">
        <f>INDEX('UBC-97 Parameters'!$D$5:$D$9,MATCH(C99,'UBC-97 Parameters'!$B$5:$B$9,0))</f>
        <v>0.24 – 0.32</v>
      </c>
      <c r="F99" s="13">
        <f t="shared" si="4"/>
        <v>0.75</v>
      </c>
      <c r="G99" s="13">
        <f t="shared" si="5"/>
        <v>0.3</v>
      </c>
    </row>
    <row r="100" spans="1:7" x14ac:dyDescent="0.25">
      <c r="A100" s="11" t="s">
        <v>83</v>
      </c>
      <c r="B100" s="11" t="s">
        <v>116</v>
      </c>
      <c r="C100" s="12" t="s">
        <v>88</v>
      </c>
      <c r="D100" s="13">
        <f>INDEX('UBC-97 Parameters'!$C$5:$C$9,MATCH(C100,'UBC-97 Parameters'!$B$5:$B$9,0))</f>
        <v>0.3</v>
      </c>
      <c r="E100" s="13" t="str">
        <f>INDEX('UBC-97 Parameters'!$D$5:$D$9,MATCH(C100,'UBC-97 Parameters'!$B$5:$B$9,0))</f>
        <v>0.24 – 0.32</v>
      </c>
      <c r="F100" s="13">
        <f t="shared" ref="F100:F131" si="6">ROUND(D100*2.5,3)</f>
        <v>0.75</v>
      </c>
      <c r="G100" s="13">
        <f t="shared" ref="G100:G131" si="7">ROUND(D100*1,3)</f>
        <v>0.3</v>
      </c>
    </row>
    <row r="101" spans="1:7" x14ac:dyDescent="0.25">
      <c r="A101" s="11" t="s">
        <v>83</v>
      </c>
      <c r="B101" s="11" t="s">
        <v>117</v>
      </c>
      <c r="C101" s="12" t="s">
        <v>88</v>
      </c>
      <c r="D101" s="13">
        <f>INDEX('UBC-97 Parameters'!$C$5:$C$9,MATCH(C101,'UBC-97 Parameters'!$B$5:$B$9,0))</f>
        <v>0.3</v>
      </c>
      <c r="E101" s="13" t="str">
        <f>INDEX('UBC-97 Parameters'!$D$5:$D$9,MATCH(C101,'UBC-97 Parameters'!$B$5:$B$9,0))</f>
        <v>0.24 – 0.32</v>
      </c>
      <c r="F101" s="13">
        <f t="shared" si="6"/>
        <v>0.75</v>
      </c>
      <c r="G101" s="13">
        <f t="shared" si="7"/>
        <v>0.3</v>
      </c>
    </row>
    <row r="102" spans="1:7" x14ac:dyDescent="0.25">
      <c r="A102" s="11" t="s">
        <v>83</v>
      </c>
      <c r="B102" s="11" t="s">
        <v>118</v>
      </c>
      <c r="C102" s="12" t="s">
        <v>15</v>
      </c>
      <c r="D102" s="13">
        <f>INDEX('UBC-97 Parameters'!$C$5:$C$9,MATCH(C102,'UBC-97 Parameters'!$B$5:$B$9,0))</f>
        <v>0.2</v>
      </c>
      <c r="E102" s="13" t="str">
        <f>INDEX('UBC-97 Parameters'!$D$5:$D$9,MATCH(C102,'UBC-97 Parameters'!$B$5:$B$9,0))</f>
        <v>0.16 – 0.24</v>
      </c>
      <c r="F102" s="13">
        <f t="shared" si="6"/>
        <v>0.5</v>
      </c>
      <c r="G102" s="13">
        <f t="shared" si="7"/>
        <v>0.2</v>
      </c>
    </row>
    <row r="103" spans="1:7" x14ac:dyDescent="0.25">
      <c r="A103" s="11" t="s">
        <v>83</v>
      </c>
      <c r="B103" s="11" t="s">
        <v>119</v>
      </c>
      <c r="C103" s="12" t="s">
        <v>15</v>
      </c>
      <c r="D103" s="13">
        <f>INDEX('UBC-97 Parameters'!$C$5:$C$9,MATCH(C103,'UBC-97 Parameters'!$B$5:$B$9,0))</f>
        <v>0.2</v>
      </c>
      <c r="E103" s="13" t="str">
        <f>INDEX('UBC-97 Parameters'!$D$5:$D$9,MATCH(C103,'UBC-97 Parameters'!$B$5:$B$9,0))</f>
        <v>0.16 – 0.24</v>
      </c>
      <c r="F103" s="13">
        <f t="shared" si="6"/>
        <v>0.5</v>
      </c>
      <c r="G103" s="13">
        <f t="shared" si="7"/>
        <v>0.2</v>
      </c>
    </row>
    <row r="104" spans="1:7" x14ac:dyDescent="0.25">
      <c r="A104" s="11" t="s">
        <v>83</v>
      </c>
      <c r="B104" s="11" t="s">
        <v>120</v>
      </c>
      <c r="C104" s="12" t="s">
        <v>88</v>
      </c>
      <c r="D104" s="13">
        <f>INDEX('UBC-97 Parameters'!$C$5:$C$9,MATCH(C104,'UBC-97 Parameters'!$B$5:$B$9,0))</f>
        <v>0.3</v>
      </c>
      <c r="E104" s="13" t="str">
        <f>INDEX('UBC-97 Parameters'!$D$5:$D$9,MATCH(C104,'UBC-97 Parameters'!$B$5:$B$9,0))</f>
        <v>0.24 – 0.32</v>
      </c>
      <c r="F104" s="13">
        <f t="shared" si="6"/>
        <v>0.75</v>
      </c>
      <c r="G104" s="13">
        <f t="shared" si="7"/>
        <v>0.3</v>
      </c>
    </row>
    <row r="105" spans="1:7" x14ac:dyDescent="0.25">
      <c r="A105" s="11" t="s">
        <v>121</v>
      </c>
      <c r="B105" s="11" t="s">
        <v>122</v>
      </c>
      <c r="C105" s="12" t="s">
        <v>88</v>
      </c>
      <c r="D105" s="13">
        <f>INDEX('UBC-97 Parameters'!$C$5:$C$9,MATCH(C105,'UBC-97 Parameters'!$B$5:$B$9,0))</f>
        <v>0.3</v>
      </c>
      <c r="E105" s="13" t="str">
        <f>INDEX('UBC-97 Parameters'!$D$5:$D$9,MATCH(C105,'UBC-97 Parameters'!$B$5:$B$9,0))</f>
        <v>0.24 – 0.32</v>
      </c>
      <c r="F105" s="13">
        <f t="shared" si="6"/>
        <v>0.75</v>
      </c>
      <c r="G105" s="13">
        <f t="shared" si="7"/>
        <v>0.3</v>
      </c>
    </row>
    <row r="106" spans="1:7" x14ac:dyDescent="0.25">
      <c r="A106" s="11" t="s">
        <v>121</v>
      </c>
      <c r="B106" s="11" t="s">
        <v>123</v>
      </c>
      <c r="C106" s="12" t="s">
        <v>85</v>
      </c>
      <c r="D106" s="13">
        <f>INDEX('UBC-97 Parameters'!$C$5:$C$9,MATCH(C106,'UBC-97 Parameters'!$B$5:$B$9,0))</f>
        <v>0.4</v>
      </c>
      <c r="E106" s="13" t="str">
        <f>INDEX('UBC-97 Parameters'!$D$5:$D$9,MATCH(C106,'UBC-97 Parameters'!$B$5:$B$9,0))</f>
        <v>&gt; 0.32</v>
      </c>
      <c r="F106" s="13">
        <f t="shared" si="6"/>
        <v>1</v>
      </c>
      <c r="G106" s="13">
        <f t="shared" si="7"/>
        <v>0.4</v>
      </c>
    </row>
    <row r="107" spans="1:7" x14ac:dyDescent="0.25">
      <c r="A107" s="11" t="s">
        <v>121</v>
      </c>
      <c r="B107" s="11" t="s">
        <v>124</v>
      </c>
      <c r="C107" s="12" t="s">
        <v>88</v>
      </c>
      <c r="D107" s="13">
        <f>INDEX('UBC-97 Parameters'!$C$5:$C$9,MATCH(C107,'UBC-97 Parameters'!$B$5:$B$9,0))</f>
        <v>0.3</v>
      </c>
      <c r="E107" s="13" t="str">
        <f>INDEX('UBC-97 Parameters'!$D$5:$D$9,MATCH(C107,'UBC-97 Parameters'!$B$5:$B$9,0))</f>
        <v>0.24 – 0.32</v>
      </c>
      <c r="F107" s="13">
        <f t="shared" si="6"/>
        <v>0.75</v>
      </c>
      <c r="G107" s="13">
        <f t="shared" si="7"/>
        <v>0.3</v>
      </c>
    </row>
    <row r="108" spans="1:7" x14ac:dyDescent="0.25">
      <c r="A108" s="11" t="s">
        <v>121</v>
      </c>
      <c r="B108" s="11" t="s">
        <v>125</v>
      </c>
      <c r="C108" s="12" t="s">
        <v>88</v>
      </c>
      <c r="D108" s="13">
        <f>INDEX('UBC-97 Parameters'!$C$5:$C$9,MATCH(C108,'UBC-97 Parameters'!$B$5:$B$9,0))</f>
        <v>0.3</v>
      </c>
      <c r="E108" s="13" t="str">
        <f>INDEX('UBC-97 Parameters'!$D$5:$D$9,MATCH(C108,'UBC-97 Parameters'!$B$5:$B$9,0))</f>
        <v>0.24 – 0.32</v>
      </c>
      <c r="F108" s="13">
        <f t="shared" si="6"/>
        <v>0.75</v>
      </c>
      <c r="G108" s="13">
        <f t="shared" si="7"/>
        <v>0.3</v>
      </c>
    </row>
    <row r="109" spans="1:7" x14ac:dyDescent="0.25">
      <c r="A109" s="11" t="s">
        <v>121</v>
      </c>
      <c r="B109" s="11" t="s">
        <v>126</v>
      </c>
      <c r="C109" s="12" t="s">
        <v>88</v>
      </c>
      <c r="D109" s="13">
        <f>INDEX('UBC-97 Parameters'!$C$5:$C$9,MATCH(C109,'UBC-97 Parameters'!$B$5:$B$9,0))</f>
        <v>0.3</v>
      </c>
      <c r="E109" s="13" t="str">
        <f>INDEX('UBC-97 Parameters'!$D$5:$D$9,MATCH(C109,'UBC-97 Parameters'!$B$5:$B$9,0))</f>
        <v>0.24 – 0.32</v>
      </c>
      <c r="F109" s="13">
        <f t="shared" si="6"/>
        <v>0.75</v>
      </c>
      <c r="G109" s="13">
        <f t="shared" si="7"/>
        <v>0.3</v>
      </c>
    </row>
    <row r="110" spans="1:7" x14ac:dyDescent="0.25">
      <c r="A110" s="11" t="s">
        <v>121</v>
      </c>
      <c r="B110" s="11" t="s">
        <v>127</v>
      </c>
      <c r="C110" s="12" t="s">
        <v>88</v>
      </c>
      <c r="D110" s="13">
        <f>INDEX('UBC-97 Parameters'!$C$5:$C$9,MATCH(C110,'UBC-97 Parameters'!$B$5:$B$9,0))</f>
        <v>0.3</v>
      </c>
      <c r="E110" s="13" t="str">
        <f>INDEX('UBC-97 Parameters'!$D$5:$D$9,MATCH(C110,'UBC-97 Parameters'!$B$5:$B$9,0))</f>
        <v>0.24 – 0.32</v>
      </c>
      <c r="F110" s="13">
        <f t="shared" si="6"/>
        <v>0.75</v>
      </c>
      <c r="G110" s="13">
        <f t="shared" si="7"/>
        <v>0.3</v>
      </c>
    </row>
    <row r="111" spans="1:7" x14ac:dyDescent="0.25">
      <c r="A111" s="11" t="s">
        <v>121</v>
      </c>
      <c r="B111" s="11" t="s">
        <v>128</v>
      </c>
      <c r="C111" s="12" t="s">
        <v>88</v>
      </c>
      <c r="D111" s="13">
        <f>INDEX('UBC-97 Parameters'!$C$5:$C$9,MATCH(C111,'UBC-97 Parameters'!$B$5:$B$9,0))</f>
        <v>0.3</v>
      </c>
      <c r="E111" s="13" t="str">
        <f>INDEX('UBC-97 Parameters'!$D$5:$D$9,MATCH(C111,'UBC-97 Parameters'!$B$5:$B$9,0))</f>
        <v>0.24 – 0.32</v>
      </c>
      <c r="F111" s="13">
        <f t="shared" si="6"/>
        <v>0.75</v>
      </c>
      <c r="G111" s="13">
        <f t="shared" si="7"/>
        <v>0.3</v>
      </c>
    </row>
    <row r="112" spans="1:7" x14ac:dyDescent="0.25">
      <c r="A112" s="11" t="s">
        <v>121</v>
      </c>
      <c r="B112" s="11" t="s">
        <v>129</v>
      </c>
      <c r="C112" s="12" t="s">
        <v>88</v>
      </c>
      <c r="D112" s="13">
        <f>INDEX('UBC-97 Parameters'!$C$5:$C$9,MATCH(C112,'UBC-97 Parameters'!$B$5:$B$9,0))</f>
        <v>0.3</v>
      </c>
      <c r="E112" s="13" t="str">
        <f>INDEX('UBC-97 Parameters'!$D$5:$D$9,MATCH(C112,'UBC-97 Parameters'!$B$5:$B$9,0))</f>
        <v>0.24 – 0.32</v>
      </c>
      <c r="F112" s="13">
        <f t="shared" si="6"/>
        <v>0.75</v>
      </c>
      <c r="G112" s="13">
        <f t="shared" si="7"/>
        <v>0.3</v>
      </c>
    </row>
    <row r="113" spans="1:7" x14ac:dyDescent="0.25">
      <c r="A113" s="11" t="s">
        <v>121</v>
      </c>
      <c r="B113" s="11" t="s">
        <v>130</v>
      </c>
      <c r="C113" s="12" t="s">
        <v>88</v>
      </c>
      <c r="D113" s="13">
        <f>INDEX('UBC-97 Parameters'!$C$5:$C$9,MATCH(C113,'UBC-97 Parameters'!$B$5:$B$9,0))</f>
        <v>0.3</v>
      </c>
      <c r="E113" s="13" t="str">
        <f>INDEX('UBC-97 Parameters'!$D$5:$D$9,MATCH(C113,'UBC-97 Parameters'!$B$5:$B$9,0))</f>
        <v>0.24 – 0.32</v>
      </c>
      <c r="F113" s="13">
        <f t="shared" si="6"/>
        <v>0.75</v>
      </c>
      <c r="G113" s="13">
        <f t="shared" si="7"/>
        <v>0.3</v>
      </c>
    </row>
    <row r="114" spans="1:7" x14ac:dyDescent="0.25">
      <c r="A114" s="11" t="s">
        <v>121</v>
      </c>
      <c r="B114" s="11" t="s">
        <v>131</v>
      </c>
      <c r="C114" s="12" t="s">
        <v>88</v>
      </c>
      <c r="D114" s="13">
        <f>INDEX('UBC-97 Parameters'!$C$5:$C$9,MATCH(C114,'UBC-97 Parameters'!$B$5:$B$9,0))</f>
        <v>0.3</v>
      </c>
      <c r="E114" s="13" t="str">
        <f>INDEX('UBC-97 Parameters'!$D$5:$D$9,MATCH(C114,'UBC-97 Parameters'!$B$5:$B$9,0))</f>
        <v>0.24 – 0.32</v>
      </c>
      <c r="F114" s="13">
        <f t="shared" si="6"/>
        <v>0.75</v>
      </c>
      <c r="G114" s="13">
        <f t="shared" si="7"/>
        <v>0.3</v>
      </c>
    </row>
    <row r="115" spans="1:7" x14ac:dyDescent="0.25">
      <c r="A115" s="11" t="s">
        <v>121</v>
      </c>
      <c r="B115" s="11" t="s">
        <v>132</v>
      </c>
      <c r="C115" s="12" t="s">
        <v>88</v>
      </c>
      <c r="D115" s="13">
        <f>INDEX('UBC-97 Parameters'!$C$5:$C$9,MATCH(C115,'UBC-97 Parameters'!$B$5:$B$9,0))</f>
        <v>0.3</v>
      </c>
      <c r="E115" s="13" t="str">
        <f>INDEX('UBC-97 Parameters'!$D$5:$D$9,MATCH(C115,'UBC-97 Parameters'!$B$5:$B$9,0))</f>
        <v>0.24 – 0.32</v>
      </c>
      <c r="F115" s="13">
        <f t="shared" si="6"/>
        <v>0.75</v>
      </c>
      <c r="G115" s="13">
        <f t="shared" si="7"/>
        <v>0.3</v>
      </c>
    </row>
    <row r="116" spans="1:7" x14ac:dyDescent="0.25">
      <c r="A116" s="11" t="s">
        <v>121</v>
      </c>
      <c r="B116" s="11" t="s">
        <v>133</v>
      </c>
      <c r="C116" s="12" t="s">
        <v>88</v>
      </c>
      <c r="D116" s="13">
        <f>INDEX('UBC-97 Parameters'!$C$5:$C$9,MATCH(C116,'UBC-97 Parameters'!$B$5:$B$9,0))</f>
        <v>0.3</v>
      </c>
      <c r="E116" s="13" t="str">
        <f>INDEX('UBC-97 Parameters'!$D$5:$D$9,MATCH(C116,'UBC-97 Parameters'!$B$5:$B$9,0))</f>
        <v>0.24 – 0.32</v>
      </c>
      <c r="F116" s="13">
        <f t="shared" si="6"/>
        <v>0.75</v>
      </c>
      <c r="G116" s="13">
        <f t="shared" si="7"/>
        <v>0.3</v>
      </c>
    </row>
    <row r="117" spans="1:7" x14ac:dyDescent="0.25">
      <c r="A117" s="11" t="s">
        <v>121</v>
      </c>
      <c r="B117" s="11" t="s">
        <v>134</v>
      </c>
      <c r="C117" s="12" t="s">
        <v>88</v>
      </c>
      <c r="D117" s="13">
        <f>INDEX('UBC-97 Parameters'!$C$5:$C$9,MATCH(C117,'UBC-97 Parameters'!$B$5:$B$9,0))</f>
        <v>0.3</v>
      </c>
      <c r="E117" s="13" t="str">
        <f>INDEX('UBC-97 Parameters'!$D$5:$D$9,MATCH(C117,'UBC-97 Parameters'!$B$5:$B$9,0))</f>
        <v>0.24 – 0.32</v>
      </c>
      <c r="F117" s="13">
        <f t="shared" si="6"/>
        <v>0.75</v>
      </c>
      <c r="G117" s="13">
        <f t="shared" si="7"/>
        <v>0.3</v>
      </c>
    </row>
    <row r="118" spans="1:7" x14ac:dyDescent="0.25">
      <c r="A118" s="11" t="s">
        <v>121</v>
      </c>
      <c r="B118" s="11" t="s">
        <v>135</v>
      </c>
      <c r="C118" s="12" t="s">
        <v>88</v>
      </c>
      <c r="D118" s="13">
        <f>INDEX('UBC-97 Parameters'!$C$5:$C$9,MATCH(C118,'UBC-97 Parameters'!$B$5:$B$9,0))</f>
        <v>0.3</v>
      </c>
      <c r="E118" s="13" t="str">
        <f>INDEX('UBC-97 Parameters'!$D$5:$D$9,MATCH(C118,'UBC-97 Parameters'!$B$5:$B$9,0))</f>
        <v>0.24 – 0.32</v>
      </c>
      <c r="F118" s="13">
        <f t="shared" si="6"/>
        <v>0.75</v>
      </c>
      <c r="G118" s="13">
        <f t="shared" si="7"/>
        <v>0.3</v>
      </c>
    </row>
    <row r="119" spans="1:7" x14ac:dyDescent="0.25">
      <c r="A119" s="11" t="s">
        <v>121</v>
      </c>
      <c r="B119" s="11" t="s">
        <v>136</v>
      </c>
      <c r="C119" s="12" t="s">
        <v>85</v>
      </c>
      <c r="D119" s="13">
        <f>INDEX('UBC-97 Parameters'!$C$5:$C$9,MATCH(C119,'UBC-97 Parameters'!$B$5:$B$9,0))</f>
        <v>0.4</v>
      </c>
      <c r="E119" s="13" t="str">
        <f>INDEX('UBC-97 Parameters'!$D$5:$D$9,MATCH(C119,'UBC-97 Parameters'!$B$5:$B$9,0))</f>
        <v>&gt; 0.32</v>
      </c>
      <c r="F119" s="13">
        <f t="shared" si="6"/>
        <v>1</v>
      </c>
      <c r="G119" s="13">
        <f t="shared" si="7"/>
        <v>0.4</v>
      </c>
    </row>
    <row r="120" spans="1:7" x14ac:dyDescent="0.25">
      <c r="A120" s="11" t="s">
        <v>121</v>
      </c>
      <c r="B120" s="11" t="s">
        <v>137</v>
      </c>
      <c r="C120" s="12" t="s">
        <v>88</v>
      </c>
      <c r="D120" s="13">
        <f>INDEX('UBC-97 Parameters'!$C$5:$C$9,MATCH(C120,'UBC-97 Parameters'!$B$5:$B$9,0))</f>
        <v>0.3</v>
      </c>
      <c r="E120" s="13" t="str">
        <f>INDEX('UBC-97 Parameters'!$D$5:$D$9,MATCH(C120,'UBC-97 Parameters'!$B$5:$B$9,0))</f>
        <v>0.24 – 0.32</v>
      </c>
      <c r="F120" s="13">
        <f t="shared" si="6"/>
        <v>0.75</v>
      </c>
      <c r="G120" s="13">
        <f t="shared" si="7"/>
        <v>0.3</v>
      </c>
    </row>
    <row r="121" spans="1:7" x14ac:dyDescent="0.25">
      <c r="A121" s="11" t="s">
        <v>121</v>
      </c>
      <c r="B121" s="11" t="s">
        <v>138</v>
      </c>
      <c r="C121" s="12" t="s">
        <v>88</v>
      </c>
      <c r="D121" s="13">
        <f>INDEX('UBC-97 Parameters'!$C$5:$C$9,MATCH(C121,'UBC-97 Parameters'!$B$5:$B$9,0))</f>
        <v>0.3</v>
      </c>
      <c r="E121" s="13" t="str">
        <f>INDEX('UBC-97 Parameters'!$D$5:$D$9,MATCH(C121,'UBC-97 Parameters'!$B$5:$B$9,0))</f>
        <v>0.24 – 0.32</v>
      </c>
      <c r="F121" s="13">
        <f t="shared" si="6"/>
        <v>0.75</v>
      </c>
      <c r="G121" s="13">
        <f t="shared" si="7"/>
        <v>0.3</v>
      </c>
    </row>
    <row r="122" spans="1:7" x14ac:dyDescent="0.25">
      <c r="A122" s="11" t="s">
        <v>121</v>
      </c>
      <c r="B122" s="11" t="s">
        <v>139</v>
      </c>
      <c r="C122" s="12" t="s">
        <v>15</v>
      </c>
      <c r="D122" s="13">
        <f>INDEX('UBC-97 Parameters'!$C$5:$C$9,MATCH(C122,'UBC-97 Parameters'!$B$5:$B$9,0))</f>
        <v>0.2</v>
      </c>
      <c r="E122" s="13" t="str">
        <f>INDEX('UBC-97 Parameters'!$D$5:$D$9,MATCH(C122,'UBC-97 Parameters'!$B$5:$B$9,0))</f>
        <v>0.16 – 0.24</v>
      </c>
      <c r="F122" s="13">
        <f t="shared" si="6"/>
        <v>0.5</v>
      </c>
      <c r="G122" s="13">
        <f t="shared" si="7"/>
        <v>0.2</v>
      </c>
    </row>
    <row r="123" spans="1:7" x14ac:dyDescent="0.25">
      <c r="A123" s="11" t="s">
        <v>121</v>
      </c>
      <c r="B123" s="11" t="s">
        <v>140</v>
      </c>
      <c r="C123" s="12" t="s">
        <v>15</v>
      </c>
      <c r="D123" s="13">
        <f>INDEX('UBC-97 Parameters'!$C$5:$C$9,MATCH(C123,'UBC-97 Parameters'!$B$5:$B$9,0))</f>
        <v>0.2</v>
      </c>
      <c r="E123" s="13" t="str">
        <f>INDEX('UBC-97 Parameters'!$D$5:$D$9,MATCH(C123,'UBC-97 Parameters'!$B$5:$B$9,0))</f>
        <v>0.16 – 0.24</v>
      </c>
      <c r="F123" s="13">
        <f t="shared" si="6"/>
        <v>0.5</v>
      </c>
      <c r="G123" s="13">
        <f t="shared" si="7"/>
        <v>0.2</v>
      </c>
    </row>
    <row r="124" spans="1:7" x14ac:dyDescent="0.25">
      <c r="A124" s="11" t="s">
        <v>121</v>
      </c>
      <c r="B124" s="11" t="s">
        <v>141</v>
      </c>
      <c r="C124" s="12" t="s">
        <v>15</v>
      </c>
      <c r="D124" s="13">
        <f>INDEX('UBC-97 Parameters'!$C$5:$C$9,MATCH(C124,'UBC-97 Parameters'!$B$5:$B$9,0))</f>
        <v>0.2</v>
      </c>
      <c r="E124" s="13" t="str">
        <f>INDEX('UBC-97 Parameters'!$D$5:$D$9,MATCH(C124,'UBC-97 Parameters'!$B$5:$B$9,0))</f>
        <v>0.16 – 0.24</v>
      </c>
      <c r="F124" s="13">
        <f t="shared" si="6"/>
        <v>0.5</v>
      </c>
      <c r="G124" s="13">
        <f t="shared" si="7"/>
        <v>0.2</v>
      </c>
    </row>
    <row r="125" spans="1:7" x14ac:dyDescent="0.25">
      <c r="A125" s="11" t="s">
        <v>121</v>
      </c>
      <c r="B125" s="11" t="s">
        <v>142</v>
      </c>
      <c r="C125" s="12" t="s">
        <v>15</v>
      </c>
      <c r="D125" s="13">
        <f>INDEX('UBC-97 Parameters'!$C$5:$C$9,MATCH(C125,'UBC-97 Parameters'!$B$5:$B$9,0))</f>
        <v>0.2</v>
      </c>
      <c r="E125" s="13" t="str">
        <f>INDEX('UBC-97 Parameters'!$D$5:$D$9,MATCH(C125,'UBC-97 Parameters'!$B$5:$B$9,0))</f>
        <v>0.16 – 0.24</v>
      </c>
      <c r="F125" s="13">
        <f t="shared" si="6"/>
        <v>0.5</v>
      </c>
      <c r="G125" s="13">
        <f t="shared" si="7"/>
        <v>0.2</v>
      </c>
    </row>
    <row r="126" spans="1:7" x14ac:dyDescent="0.25">
      <c r="A126" s="11" t="s">
        <v>121</v>
      </c>
      <c r="B126" s="11" t="s">
        <v>143</v>
      </c>
      <c r="C126" s="12" t="s">
        <v>88</v>
      </c>
      <c r="D126" s="13">
        <f>INDEX('UBC-97 Parameters'!$C$5:$C$9,MATCH(C126,'UBC-97 Parameters'!$B$5:$B$9,0))</f>
        <v>0.3</v>
      </c>
      <c r="E126" s="13" t="str">
        <f>INDEX('UBC-97 Parameters'!$D$5:$D$9,MATCH(C126,'UBC-97 Parameters'!$B$5:$B$9,0))</f>
        <v>0.24 – 0.32</v>
      </c>
      <c r="F126" s="13">
        <f t="shared" si="6"/>
        <v>0.75</v>
      </c>
      <c r="G126" s="13">
        <f t="shared" si="7"/>
        <v>0.3</v>
      </c>
    </row>
    <row r="127" spans="1:7" x14ac:dyDescent="0.25">
      <c r="A127" s="11" t="s">
        <v>121</v>
      </c>
      <c r="B127" s="11" t="s">
        <v>144</v>
      </c>
      <c r="C127" s="12" t="s">
        <v>15</v>
      </c>
      <c r="D127" s="13">
        <f>INDEX('UBC-97 Parameters'!$C$5:$C$9,MATCH(C127,'UBC-97 Parameters'!$B$5:$B$9,0))</f>
        <v>0.2</v>
      </c>
      <c r="E127" s="13" t="str">
        <f>INDEX('UBC-97 Parameters'!$D$5:$D$9,MATCH(C127,'UBC-97 Parameters'!$B$5:$B$9,0))</f>
        <v>0.16 – 0.24</v>
      </c>
      <c r="F127" s="13">
        <f t="shared" si="6"/>
        <v>0.5</v>
      </c>
      <c r="G127" s="13">
        <f t="shared" si="7"/>
        <v>0.2</v>
      </c>
    </row>
    <row r="128" spans="1:7" x14ac:dyDescent="0.25">
      <c r="A128" s="11" t="s">
        <v>121</v>
      </c>
      <c r="B128" s="11" t="s">
        <v>145</v>
      </c>
      <c r="C128" s="12" t="s">
        <v>88</v>
      </c>
      <c r="D128" s="13">
        <f>INDEX('UBC-97 Parameters'!$C$5:$C$9,MATCH(C128,'UBC-97 Parameters'!$B$5:$B$9,0))</f>
        <v>0.3</v>
      </c>
      <c r="E128" s="13" t="str">
        <f>INDEX('UBC-97 Parameters'!$D$5:$D$9,MATCH(C128,'UBC-97 Parameters'!$B$5:$B$9,0))</f>
        <v>0.24 – 0.32</v>
      </c>
      <c r="F128" s="13">
        <f t="shared" si="6"/>
        <v>0.75</v>
      </c>
      <c r="G128" s="13">
        <f t="shared" si="7"/>
        <v>0.3</v>
      </c>
    </row>
    <row r="129" spans="1:7" x14ac:dyDescent="0.25">
      <c r="A129" s="11" t="s">
        <v>121</v>
      </c>
      <c r="B129" s="11" t="s">
        <v>146</v>
      </c>
      <c r="C129" s="12" t="s">
        <v>88</v>
      </c>
      <c r="D129" s="13">
        <f>INDEX('UBC-97 Parameters'!$C$5:$C$9,MATCH(C129,'UBC-97 Parameters'!$B$5:$B$9,0))</f>
        <v>0.3</v>
      </c>
      <c r="E129" s="13" t="str">
        <f>INDEX('UBC-97 Parameters'!$D$5:$D$9,MATCH(C129,'UBC-97 Parameters'!$B$5:$B$9,0))</f>
        <v>0.24 – 0.32</v>
      </c>
      <c r="F129" s="13">
        <f t="shared" si="6"/>
        <v>0.75</v>
      </c>
      <c r="G129" s="13">
        <f t="shared" si="7"/>
        <v>0.3</v>
      </c>
    </row>
    <row r="130" spans="1:7" x14ac:dyDescent="0.25">
      <c r="A130" s="11" t="s">
        <v>121</v>
      </c>
      <c r="B130" s="11" t="s">
        <v>147</v>
      </c>
      <c r="C130" s="12" t="s">
        <v>15</v>
      </c>
      <c r="D130" s="13">
        <f>INDEX('UBC-97 Parameters'!$C$5:$C$9,MATCH(C130,'UBC-97 Parameters'!$B$5:$B$9,0))</f>
        <v>0.2</v>
      </c>
      <c r="E130" s="13" t="str">
        <f>INDEX('UBC-97 Parameters'!$D$5:$D$9,MATCH(C130,'UBC-97 Parameters'!$B$5:$B$9,0))</f>
        <v>0.16 – 0.24</v>
      </c>
      <c r="F130" s="13">
        <f t="shared" si="6"/>
        <v>0.5</v>
      </c>
      <c r="G130" s="13">
        <f t="shared" si="7"/>
        <v>0.2</v>
      </c>
    </row>
    <row r="131" spans="1:7" x14ac:dyDescent="0.25">
      <c r="A131" s="11" t="s">
        <v>121</v>
      </c>
      <c r="B131" s="11" t="s">
        <v>148</v>
      </c>
      <c r="C131" s="12" t="s">
        <v>15</v>
      </c>
      <c r="D131" s="13">
        <f>INDEX('UBC-97 Parameters'!$C$5:$C$9,MATCH(C131,'UBC-97 Parameters'!$B$5:$B$9,0))</f>
        <v>0.2</v>
      </c>
      <c r="E131" s="13" t="str">
        <f>INDEX('UBC-97 Parameters'!$D$5:$D$9,MATCH(C131,'UBC-97 Parameters'!$B$5:$B$9,0))</f>
        <v>0.16 – 0.24</v>
      </c>
      <c r="F131" s="13">
        <f t="shared" si="6"/>
        <v>0.5</v>
      </c>
      <c r="G131" s="13">
        <f t="shared" si="7"/>
        <v>0.2</v>
      </c>
    </row>
    <row r="132" spans="1:7" x14ac:dyDescent="0.25">
      <c r="A132" s="11" t="s">
        <v>121</v>
      </c>
      <c r="B132" s="11" t="s">
        <v>149</v>
      </c>
      <c r="C132" s="12" t="s">
        <v>88</v>
      </c>
      <c r="D132" s="13">
        <f>INDEX('UBC-97 Parameters'!$C$5:$C$9,MATCH(C132,'UBC-97 Parameters'!$B$5:$B$9,0))</f>
        <v>0.3</v>
      </c>
      <c r="E132" s="13" t="str">
        <f>INDEX('UBC-97 Parameters'!$D$5:$D$9,MATCH(C132,'UBC-97 Parameters'!$B$5:$B$9,0))</f>
        <v>0.24 – 0.32</v>
      </c>
      <c r="F132" s="13">
        <f t="shared" ref="F132:F159" si="8">ROUND(D132*2.5,3)</f>
        <v>0.75</v>
      </c>
      <c r="G132" s="13">
        <f t="shared" ref="G132:G159" si="9">ROUND(D132*1,3)</f>
        <v>0.3</v>
      </c>
    </row>
    <row r="133" spans="1:7" x14ac:dyDescent="0.25">
      <c r="A133" s="11" t="s">
        <v>121</v>
      </c>
      <c r="B133" s="11" t="s">
        <v>150</v>
      </c>
      <c r="C133" s="12" t="s">
        <v>15</v>
      </c>
      <c r="D133" s="13">
        <f>INDEX('UBC-97 Parameters'!$C$5:$C$9,MATCH(C133,'UBC-97 Parameters'!$B$5:$B$9,0))</f>
        <v>0.2</v>
      </c>
      <c r="E133" s="13" t="str">
        <f>INDEX('UBC-97 Parameters'!$D$5:$D$9,MATCH(C133,'UBC-97 Parameters'!$B$5:$B$9,0))</f>
        <v>0.16 – 0.24</v>
      </c>
      <c r="F133" s="13">
        <f t="shared" si="8"/>
        <v>0.5</v>
      </c>
      <c r="G133" s="13">
        <f t="shared" si="9"/>
        <v>0.2</v>
      </c>
    </row>
    <row r="134" spans="1:7" x14ac:dyDescent="0.25">
      <c r="A134" s="11" t="s">
        <v>121</v>
      </c>
      <c r="B134" s="11" t="s">
        <v>151</v>
      </c>
      <c r="C134" s="12" t="s">
        <v>23</v>
      </c>
      <c r="D134" s="13">
        <f>INDEX('UBC-97 Parameters'!$C$5:$C$9,MATCH(C134,'UBC-97 Parameters'!$B$5:$B$9,0))</f>
        <v>0.15</v>
      </c>
      <c r="E134" s="13" t="str">
        <f>INDEX('UBC-97 Parameters'!$D$5:$D$9,MATCH(C134,'UBC-97 Parameters'!$B$5:$B$9,0))</f>
        <v>0.08 – 0.16</v>
      </c>
      <c r="F134" s="13">
        <f t="shared" si="8"/>
        <v>0.375</v>
      </c>
      <c r="G134" s="13">
        <f t="shared" si="9"/>
        <v>0.15</v>
      </c>
    </row>
    <row r="135" spans="1:7" x14ac:dyDescent="0.25">
      <c r="A135" s="11" t="s">
        <v>121</v>
      </c>
      <c r="B135" s="11" t="s">
        <v>152</v>
      </c>
      <c r="C135" s="12" t="s">
        <v>85</v>
      </c>
      <c r="D135" s="13">
        <f>INDEX('UBC-97 Parameters'!$C$5:$C$9,MATCH(C135,'UBC-97 Parameters'!$B$5:$B$9,0))</f>
        <v>0.4</v>
      </c>
      <c r="E135" s="13" t="str">
        <f>INDEX('UBC-97 Parameters'!$D$5:$D$9,MATCH(C135,'UBC-97 Parameters'!$B$5:$B$9,0))</f>
        <v>&gt; 0.32</v>
      </c>
      <c r="F135" s="13">
        <f t="shared" si="8"/>
        <v>1</v>
      </c>
      <c r="G135" s="13">
        <f t="shared" si="9"/>
        <v>0.4</v>
      </c>
    </row>
    <row r="136" spans="1:7" x14ac:dyDescent="0.25">
      <c r="A136" s="11" t="s">
        <v>121</v>
      </c>
      <c r="B136" s="11" t="s">
        <v>153</v>
      </c>
      <c r="C136" s="12" t="s">
        <v>15</v>
      </c>
      <c r="D136" s="13">
        <f>INDEX('UBC-97 Parameters'!$C$5:$C$9,MATCH(C136,'UBC-97 Parameters'!$B$5:$B$9,0))</f>
        <v>0.2</v>
      </c>
      <c r="E136" s="13" t="str">
        <f>INDEX('UBC-97 Parameters'!$D$5:$D$9,MATCH(C136,'UBC-97 Parameters'!$B$5:$B$9,0))</f>
        <v>0.16 – 0.24</v>
      </c>
      <c r="F136" s="13">
        <f t="shared" si="8"/>
        <v>0.5</v>
      </c>
      <c r="G136" s="13">
        <f t="shared" si="9"/>
        <v>0.2</v>
      </c>
    </row>
    <row r="137" spans="1:7" x14ac:dyDescent="0.25">
      <c r="A137" s="11" t="s">
        <v>121</v>
      </c>
      <c r="B137" s="11" t="s">
        <v>154</v>
      </c>
      <c r="C137" s="12" t="s">
        <v>15</v>
      </c>
      <c r="D137" s="13">
        <f>INDEX('UBC-97 Parameters'!$C$5:$C$9,MATCH(C137,'UBC-97 Parameters'!$B$5:$B$9,0))</f>
        <v>0.2</v>
      </c>
      <c r="E137" s="13" t="str">
        <f>INDEX('UBC-97 Parameters'!$D$5:$D$9,MATCH(C137,'UBC-97 Parameters'!$B$5:$B$9,0))</f>
        <v>0.16 – 0.24</v>
      </c>
      <c r="F137" s="13">
        <f t="shared" si="8"/>
        <v>0.5</v>
      </c>
      <c r="G137" s="13">
        <f t="shared" si="9"/>
        <v>0.2</v>
      </c>
    </row>
    <row r="138" spans="1:7" x14ac:dyDescent="0.25">
      <c r="A138" s="11" t="s">
        <v>121</v>
      </c>
      <c r="B138" s="11" t="s">
        <v>155</v>
      </c>
      <c r="C138" s="12" t="s">
        <v>88</v>
      </c>
      <c r="D138" s="13">
        <f>INDEX('UBC-97 Parameters'!$C$5:$C$9,MATCH(C138,'UBC-97 Parameters'!$B$5:$B$9,0))</f>
        <v>0.3</v>
      </c>
      <c r="E138" s="13" t="str">
        <f>INDEX('UBC-97 Parameters'!$D$5:$D$9,MATCH(C138,'UBC-97 Parameters'!$B$5:$B$9,0))</f>
        <v>0.24 – 0.32</v>
      </c>
      <c r="F138" s="13">
        <f t="shared" si="8"/>
        <v>0.75</v>
      </c>
      <c r="G138" s="13">
        <f t="shared" si="9"/>
        <v>0.3</v>
      </c>
    </row>
    <row r="139" spans="1:7" x14ac:dyDescent="0.25">
      <c r="A139" s="11" t="s">
        <v>156</v>
      </c>
      <c r="B139" s="11" t="s">
        <v>157</v>
      </c>
      <c r="C139" s="12" t="s">
        <v>85</v>
      </c>
      <c r="D139" s="13">
        <f>INDEX('UBC-97 Parameters'!$C$5:$C$9,MATCH(C139,'UBC-97 Parameters'!$B$5:$B$9,0))</f>
        <v>0.4</v>
      </c>
      <c r="E139" s="13" t="str">
        <f>INDEX('UBC-97 Parameters'!$D$5:$D$9,MATCH(C139,'UBC-97 Parameters'!$B$5:$B$9,0))</f>
        <v>&gt; 0.32</v>
      </c>
      <c r="F139" s="13">
        <f t="shared" si="8"/>
        <v>1</v>
      </c>
      <c r="G139" s="13">
        <f t="shared" si="9"/>
        <v>0.4</v>
      </c>
    </row>
    <row r="140" spans="1:7" x14ac:dyDescent="0.25">
      <c r="A140" s="11" t="s">
        <v>156</v>
      </c>
      <c r="B140" s="11" t="s">
        <v>158</v>
      </c>
      <c r="C140" s="12" t="s">
        <v>85</v>
      </c>
      <c r="D140" s="13">
        <f>INDEX('UBC-97 Parameters'!$C$5:$C$9,MATCH(C140,'UBC-97 Parameters'!$B$5:$B$9,0))</f>
        <v>0.4</v>
      </c>
      <c r="E140" s="13" t="str">
        <f>INDEX('UBC-97 Parameters'!$D$5:$D$9,MATCH(C140,'UBC-97 Parameters'!$B$5:$B$9,0))</f>
        <v>&gt; 0.32</v>
      </c>
      <c r="F140" s="13">
        <f t="shared" si="8"/>
        <v>1</v>
      </c>
      <c r="G140" s="13">
        <f t="shared" si="9"/>
        <v>0.4</v>
      </c>
    </row>
    <row r="141" spans="1:7" x14ac:dyDescent="0.25">
      <c r="A141" s="11" t="s">
        <v>156</v>
      </c>
      <c r="B141" s="11" t="s">
        <v>159</v>
      </c>
      <c r="C141" s="12" t="s">
        <v>85</v>
      </c>
      <c r="D141" s="13">
        <f>INDEX('UBC-97 Parameters'!$C$5:$C$9,MATCH(C141,'UBC-97 Parameters'!$B$5:$B$9,0))</f>
        <v>0.4</v>
      </c>
      <c r="E141" s="13" t="str">
        <f>INDEX('UBC-97 Parameters'!$D$5:$D$9,MATCH(C141,'UBC-97 Parameters'!$B$5:$B$9,0))</f>
        <v>&gt; 0.32</v>
      </c>
      <c r="F141" s="13">
        <f t="shared" si="8"/>
        <v>1</v>
      </c>
      <c r="G141" s="13">
        <f t="shared" si="9"/>
        <v>0.4</v>
      </c>
    </row>
    <row r="142" spans="1:7" x14ac:dyDescent="0.25">
      <c r="A142" s="11" t="s">
        <v>156</v>
      </c>
      <c r="B142" s="11" t="s">
        <v>160</v>
      </c>
      <c r="C142" s="12" t="s">
        <v>85</v>
      </c>
      <c r="D142" s="13">
        <f>INDEX('UBC-97 Parameters'!$C$5:$C$9,MATCH(C142,'UBC-97 Parameters'!$B$5:$B$9,0))</f>
        <v>0.4</v>
      </c>
      <c r="E142" s="13" t="str">
        <f>INDEX('UBC-97 Parameters'!$D$5:$D$9,MATCH(C142,'UBC-97 Parameters'!$B$5:$B$9,0))</f>
        <v>&gt; 0.32</v>
      </c>
      <c r="F142" s="13">
        <f t="shared" si="8"/>
        <v>1</v>
      </c>
      <c r="G142" s="13">
        <f t="shared" si="9"/>
        <v>0.4</v>
      </c>
    </row>
    <row r="143" spans="1:7" x14ac:dyDescent="0.25">
      <c r="A143" s="11" t="s">
        <v>156</v>
      </c>
      <c r="B143" s="11" t="s">
        <v>161</v>
      </c>
      <c r="C143" s="12" t="s">
        <v>85</v>
      </c>
      <c r="D143" s="13">
        <f>INDEX('UBC-97 Parameters'!$C$5:$C$9,MATCH(C143,'UBC-97 Parameters'!$B$5:$B$9,0))</f>
        <v>0.4</v>
      </c>
      <c r="E143" s="13" t="str">
        <f>INDEX('UBC-97 Parameters'!$D$5:$D$9,MATCH(C143,'UBC-97 Parameters'!$B$5:$B$9,0))</f>
        <v>&gt; 0.32</v>
      </c>
      <c r="F143" s="13">
        <f t="shared" si="8"/>
        <v>1</v>
      </c>
      <c r="G143" s="13">
        <f t="shared" si="9"/>
        <v>0.4</v>
      </c>
    </row>
    <row r="144" spans="1:7" x14ac:dyDescent="0.25">
      <c r="A144" s="11" t="s">
        <v>156</v>
      </c>
      <c r="B144" s="11" t="s">
        <v>162</v>
      </c>
      <c r="C144" s="12" t="s">
        <v>88</v>
      </c>
      <c r="D144" s="13">
        <f>INDEX('UBC-97 Parameters'!$C$5:$C$9,MATCH(C144,'UBC-97 Parameters'!$B$5:$B$9,0))</f>
        <v>0.3</v>
      </c>
      <c r="E144" s="13" t="str">
        <f>INDEX('UBC-97 Parameters'!$D$5:$D$9,MATCH(C144,'UBC-97 Parameters'!$B$5:$B$9,0))</f>
        <v>0.24 – 0.32</v>
      </c>
      <c r="F144" s="13">
        <f t="shared" si="8"/>
        <v>0.75</v>
      </c>
      <c r="G144" s="13">
        <f t="shared" si="9"/>
        <v>0.3</v>
      </c>
    </row>
    <row r="145" spans="1:7" x14ac:dyDescent="0.25">
      <c r="A145" s="11" t="s">
        <v>156</v>
      </c>
      <c r="B145" s="11" t="s">
        <v>163</v>
      </c>
      <c r="C145" s="12" t="s">
        <v>88</v>
      </c>
      <c r="D145" s="13">
        <f>INDEX('UBC-97 Parameters'!$C$5:$C$9,MATCH(C145,'UBC-97 Parameters'!$B$5:$B$9,0))</f>
        <v>0.3</v>
      </c>
      <c r="E145" s="13" t="str">
        <f>INDEX('UBC-97 Parameters'!$D$5:$D$9,MATCH(C145,'UBC-97 Parameters'!$B$5:$B$9,0))</f>
        <v>0.24 – 0.32</v>
      </c>
      <c r="F145" s="13">
        <f t="shared" si="8"/>
        <v>0.75</v>
      </c>
      <c r="G145" s="13">
        <f t="shared" si="9"/>
        <v>0.3</v>
      </c>
    </row>
    <row r="146" spans="1:7" x14ac:dyDescent="0.25">
      <c r="A146" s="11" t="s">
        <v>156</v>
      </c>
      <c r="B146" s="11" t="s">
        <v>164</v>
      </c>
      <c r="C146" s="12" t="s">
        <v>15</v>
      </c>
      <c r="D146" s="13">
        <f>INDEX('UBC-97 Parameters'!$C$5:$C$9,MATCH(C146,'UBC-97 Parameters'!$B$5:$B$9,0))</f>
        <v>0.2</v>
      </c>
      <c r="E146" s="13" t="str">
        <f>INDEX('UBC-97 Parameters'!$D$5:$D$9,MATCH(C146,'UBC-97 Parameters'!$B$5:$B$9,0))</f>
        <v>0.16 – 0.24</v>
      </c>
      <c r="F146" s="13">
        <f t="shared" si="8"/>
        <v>0.5</v>
      </c>
      <c r="G146" s="13">
        <f t="shared" si="9"/>
        <v>0.2</v>
      </c>
    </row>
    <row r="147" spans="1:7" x14ac:dyDescent="0.25">
      <c r="A147" s="11" t="s">
        <v>156</v>
      </c>
      <c r="B147" s="11" t="s">
        <v>165</v>
      </c>
      <c r="C147" s="12" t="s">
        <v>15</v>
      </c>
      <c r="D147" s="13">
        <f>INDEX('UBC-97 Parameters'!$C$5:$C$9,MATCH(C147,'UBC-97 Parameters'!$B$5:$B$9,0))</f>
        <v>0.2</v>
      </c>
      <c r="E147" s="13" t="str">
        <f>INDEX('UBC-97 Parameters'!$D$5:$D$9,MATCH(C147,'UBC-97 Parameters'!$B$5:$B$9,0))</f>
        <v>0.16 – 0.24</v>
      </c>
      <c r="F147" s="13">
        <f t="shared" si="8"/>
        <v>0.5</v>
      </c>
      <c r="G147" s="13">
        <f t="shared" si="9"/>
        <v>0.2</v>
      </c>
    </row>
    <row r="148" spans="1:7" x14ac:dyDescent="0.25">
      <c r="A148" s="11" t="s">
        <v>156</v>
      </c>
      <c r="B148" s="11" t="s">
        <v>166</v>
      </c>
      <c r="C148" s="12" t="s">
        <v>88</v>
      </c>
      <c r="D148" s="13">
        <f>INDEX('UBC-97 Parameters'!$C$5:$C$9,MATCH(C148,'UBC-97 Parameters'!$B$5:$B$9,0))</f>
        <v>0.3</v>
      </c>
      <c r="E148" s="13" t="str">
        <f>INDEX('UBC-97 Parameters'!$D$5:$D$9,MATCH(C148,'UBC-97 Parameters'!$B$5:$B$9,0))</f>
        <v>0.24 – 0.32</v>
      </c>
      <c r="F148" s="13">
        <f t="shared" si="8"/>
        <v>0.75</v>
      </c>
      <c r="G148" s="13">
        <f t="shared" si="9"/>
        <v>0.3</v>
      </c>
    </row>
    <row r="149" spans="1:7" x14ac:dyDescent="0.25">
      <c r="A149" s="11" t="s">
        <v>167</v>
      </c>
      <c r="B149" s="11" t="s">
        <v>168</v>
      </c>
      <c r="C149" s="12" t="s">
        <v>88</v>
      </c>
      <c r="D149" s="13">
        <f>INDEX('UBC-97 Parameters'!$C$5:$C$9,MATCH(C149,'UBC-97 Parameters'!$B$5:$B$9,0))</f>
        <v>0.3</v>
      </c>
      <c r="E149" s="13" t="str">
        <f>INDEX('UBC-97 Parameters'!$D$5:$D$9,MATCH(C149,'UBC-97 Parameters'!$B$5:$B$9,0))</f>
        <v>0.24 – 0.32</v>
      </c>
      <c r="F149" s="13">
        <f t="shared" si="8"/>
        <v>0.75</v>
      </c>
      <c r="G149" s="13">
        <f t="shared" si="9"/>
        <v>0.3</v>
      </c>
    </row>
    <row r="150" spans="1:7" x14ac:dyDescent="0.25">
      <c r="A150" s="11" t="s">
        <v>167</v>
      </c>
      <c r="B150" s="11" t="s">
        <v>169</v>
      </c>
      <c r="C150" s="12" t="s">
        <v>88</v>
      </c>
      <c r="D150" s="13">
        <f>INDEX('UBC-97 Parameters'!$C$5:$C$9,MATCH(C150,'UBC-97 Parameters'!$B$5:$B$9,0))</f>
        <v>0.3</v>
      </c>
      <c r="E150" s="13" t="str">
        <f>INDEX('UBC-97 Parameters'!$D$5:$D$9,MATCH(C150,'UBC-97 Parameters'!$B$5:$B$9,0))</f>
        <v>0.24 – 0.32</v>
      </c>
      <c r="F150" s="13">
        <f t="shared" si="8"/>
        <v>0.75</v>
      </c>
      <c r="G150" s="13">
        <f t="shared" si="9"/>
        <v>0.3</v>
      </c>
    </row>
    <row r="151" spans="1:7" x14ac:dyDescent="0.25">
      <c r="A151" s="11" t="s">
        <v>167</v>
      </c>
      <c r="B151" s="11" t="s">
        <v>170</v>
      </c>
      <c r="C151" s="12" t="s">
        <v>88</v>
      </c>
      <c r="D151" s="13">
        <f>INDEX('UBC-97 Parameters'!$C$5:$C$9,MATCH(C151,'UBC-97 Parameters'!$B$5:$B$9,0))</f>
        <v>0.3</v>
      </c>
      <c r="E151" s="13" t="str">
        <f>INDEX('UBC-97 Parameters'!$D$5:$D$9,MATCH(C151,'UBC-97 Parameters'!$B$5:$B$9,0))</f>
        <v>0.24 – 0.32</v>
      </c>
      <c r="F151" s="13">
        <f t="shared" si="8"/>
        <v>0.75</v>
      </c>
      <c r="G151" s="13">
        <f t="shared" si="9"/>
        <v>0.3</v>
      </c>
    </row>
    <row r="152" spans="1:7" x14ac:dyDescent="0.25">
      <c r="A152" s="11" t="s">
        <v>167</v>
      </c>
      <c r="B152" s="11" t="s">
        <v>171</v>
      </c>
      <c r="C152" s="12" t="s">
        <v>88</v>
      </c>
      <c r="D152" s="13">
        <f>INDEX('UBC-97 Parameters'!$C$5:$C$9,MATCH(C152,'UBC-97 Parameters'!$B$5:$B$9,0))</f>
        <v>0.3</v>
      </c>
      <c r="E152" s="13" t="str">
        <f>INDEX('UBC-97 Parameters'!$D$5:$D$9,MATCH(C152,'UBC-97 Parameters'!$B$5:$B$9,0))</f>
        <v>0.24 – 0.32</v>
      </c>
      <c r="F152" s="13">
        <f t="shared" si="8"/>
        <v>0.75</v>
      </c>
      <c r="G152" s="13">
        <f t="shared" si="9"/>
        <v>0.3</v>
      </c>
    </row>
    <row r="153" spans="1:7" x14ac:dyDescent="0.25">
      <c r="A153" s="11" t="s">
        <v>167</v>
      </c>
      <c r="B153" s="11" t="s">
        <v>172</v>
      </c>
      <c r="C153" s="12" t="s">
        <v>88</v>
      </c>
      <c r="D153" s="13">
        <f>INDEX('UBC-97 Parameters'!$C$5:$C$9,MATCH(C153,'UBC-97 Parameters'!$B$5:$B$9,0))</f>
        <v>0.3</v>
      </c>
      <c r="E153" s="13" t="str">
        <f>INDEX('UBC-97 Parameters'!$D$5:$D$9,MATCH(C153,'UBC-97 Parameters'!$B$5:$B$9,0))</f>
        <v>0.24 – 0.32</v>
      </c>
      <c r="F153" s="13">
        <f t="shared" si="8"/>
        <v>0.75</v>
      </c>
      <c r="G153" s="13">
        <f t="shared" si="9"/>
        <v>0.3</v>
      </c>
    </row>
    <row r="154" spans="1:7" x14ac:dyDescent="0.25">
      <c r="A154" s="11" t="s">
        <v>167</v>
      </c>
      <c r="B154" s="11" t="s">
        <v>173</v>
      </c>
      <c r="C154" s="12" t="s">
        <v>88</v>
      </c>
      <c r="D154" s="13">
        <f>INDEX('UBC-97 Parameters'!$C$5:$C$9,MATCH(C154,'UBC-97 Parameters'!$B$5:$B$9,0))</f>
        <v>0.3</v>
      </c>
      <c r="E154" s="13" t="str">
        <f>INDEX('UBC-97 Parameters'!$D$5:$D$9,MATCH(C154,'UBC-97 Parameters'!$B$5:$B$9,0))</f>
        <v>0.24 – 0.32</v>
      </c>
      <c r="F154" s="13">
        <f t="shared" si="8"/>
        <v>0.75</v>
      </c>
      <c r="G154" s="13">
        <f t="shared" si="9"/>
        <v>0.3</v>
      </c>
    </row>
    <row r="155" spans="1:7" x14ac:dyDescent="0.25">
      <c r="A155" s="11" t="s">
        <v>167</v>
      </c>
      <c r="B155" s="11" t="s">
        <v>174</v>
      </c>
      <c r="C155" s="12" t="s">
        <v>88</v>
      </c>
      <c r="D155" s="13">
        <f>INDEX('UBC-97 Parameters'!$C$5:$C$9,MATCH(C155,'UBC-97 Parameters'!$B$5:$B$9,0))</f>
        <v>0.3</v>
      </c>
      <c r="E155" s="13" t="str">
        <f>INDEX('UBC-97 Parameters'!$D$5:$D$9,MATCH(C155,'UBC-97 Parameters'!$B$5:$B$9,0))</f>
        <v>0.24 – 0.32</v>
      </c>
      <c r="F155" s="13">
        <f t="shared" si="8"/>
        <v>0.75</v>
      </c>
      <c r="G155" s="13">
        <f t="shared" si="9"/>
        <v>0.3</v>
      </c>
    </row>
    <row r="156" spans="1:7" x14ac:dyDescent="0.25">
      <c r="A156" s="11" t="s">
        <v>167</v>
      </c>
      <c r="B156" s="11" t="s">
        <v>175</v>
      </c>
      <c r="C156" s="12" t="s">
        <v>88</v>
      </c>
      <c r="D156" s="13">
        <f>INDEX('UBC-97 Parameters'!$C$5:$C$9,MATCH(C156,'UBC-97 Parameters'!$B$5:$B$9,0))</f>
        <v>0.3</v>
      </c>
      <c r="E156" s="13" t="str">
        <f>INDEX('UBC-97 Parameters'!$D$5:$D$9,MATCH(C156,'UBC-97 Parameters'!$B$5:$B$9,0))</f>
        <v>0.24 – 0.32</v>
      </c>
      <c r="F156" s="13">
        <f t="shared" si="8"/>
        <v>0.75</v>
      </c>
      <c r="G156" s="13">
        <f t="shared" si="9"/>
        <v>0.3</v>
      </c>
    </row>
    <row r="157" spans="1:7" x14ac:dyDescent="0.25">
      <c r="A157" s="11" t="s">
        <v>167</v>
      </c>
      <c r="B157" s="11" t="s">
        <v>176</v>
      </c>
      <c r="C157" s="12" t="s">
        <v>88</v>
      </c>
      <c r="D157" s="13">
        <f>INDEX('UBC-97 Parameters'!$C$5:$C$9,MATCH(C157,'UBC-97 Parameters'!$B$5:$B$9,0))</f>
        <v>0.3</v>
      </c>
      <c r="E157" s="13" t="str">
        <f>INDEX('UBC-97 Parameters'!$D$5:$D$9,MATCH(C157,'UBC-97 Parameters'!$B$5:$B$9,0))</f>
        <v>0.24 – 0.32</v>
      </c>
      <c r="F157" s="13">
        <f t="shared" si="8"/>
        <v>0.75</v>
      </c>
      <c r="G157" s="13">
        <f t="shared" si="9"/>
        <v>0.3</v>
      </c>
    </row>
    <row r="158" spans="1:7" x14ac:dyDescent="0.25">
      <c r="A158" s="11" t="s">
        <v>167</v>
      </c>
      <c r="B158" s="11" t="s">
        <v>177</v>
      </c>
      <c r="C158" s="12" t="s">
        <v>88</v>
      </c>
      <c r="D158" s="13">
        <f>INDEX('UBC-97 Parameters'!$C$5:$C$9,MATCH(C158,'UBC-97 Parameters'!$B$5:$B$9,0))</f>
        <v>0.3</v>
      </c>
      <c r="E158" s="13" t="str">
        <f>INDEX('UBC-97 Parameters'!$D$5:$D$9,MATCH(C158,'UBC-97 Parameters'!$B$5:$B$9,0))</f>
        <v>0.24 – 0.32</v>
      </c>
      <c r="F158" s="13">
        <f t="shared" si="8"/>
        <v>0.75</v>
      </c>
      <c r="G158" s="13">
        <f t="shared" si="9"/>
        <v>0.3</v>
      </c>
    </row>
    <row r="159" spans="1:7" x14ac:dyDescent="0.25">
      <c r="A159" s="11" t="s">
        <v>178</v>
      </c>
      <c r="B159" s="11" t="s">
        <v>179</v>
      </c>
      <c r="C159" s="12" t="s">
        <v>15</v>
      </c>
      <c r="D159" s="13">
        <f>INDEX('UBC-97 Parameters'!$C$5:$C$9,MATCH(C159,'UBC-97 Parameters'!$B$5:$B$9,0))</f>
        <v>0.2</v>
      </c>
      <c r="E159" s="13" t="str">
        <f>INDEX('UBC-97 Parameters'!$D$5:$D$9,MATCH(C159,'UBC-97 Parameters'!$B$5:$B$9,0))</f>
        <v>0.16 – 0.24</v>
      </c>
      <c r="F159" s="13">
        <f t="shared" si="8"/>
        <v>0.5</v>
      </c>
      <c r="G159" s="13">
        <f t="shared" si="9"/>
        <v>0.2</v>
      </c>
    </row>
    <row r="162" spans="1:1" x14ac:dyDescent="0.25">
      <c r="A162" s="14" t="s">
        <v>180</v>
      </c>
    </row>
    <row r="163" spans="1:1" x14ac:dyDescent="0.25">
      <c r="A163" s="15" t="s">
        <v>181</v>
      </c>
    </row>
    <row r="164" spans="1:1" x14ac:dyDescent="0.25">
      <c r="A164" s="15" t="s">
        <v>182</v>
      </c>
    </row>
    <row r="165" spans="1:1" x14ac:dyDescent="0.25">
      <c r="A165" s="15" t="s">
        <v>183</v>
      </c>
    </row>
    <row r="166" spans="1:1" x14ac:dyDescent="0.25">
      <c r="A166" s="15" t="s">
        <v>184</v>
      </c>
    </row>
    <row r="167" spans="1:1" x14ac:dyDescent="0.25">
      <c r="A167" s="15" t="s">
        <v>185</v>
      </c>
    </row>
  </sheetData>
  <autoFilter ref="A3:G159" xr:uid="{00000000-0009-0000-0000-000001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showGridLines="0" zoomScaleNormal="100" workbookViewId="0">
      <selection activeCell="C17" sqref="C17"/>
    </sheetView>
  </sheetViews>
  <sheetFormatPr defaultColWidth="8.7109375" defaultRowHeight="15" x14ac:dyDescent="0.25"/>
  <cols>
    <col min="1" max="1" width="14" style="2" customWidth="1"/>
    <col min="2" max="2" width="16" style="2" customWidth="1"/>
    <col min="3" max="3" width="110.42578125" style="2" bestFit="1" customWidth="1"/>
    <col min="4" max="4" width="27" style="2" bestFit="1" customWidth="1"/>
    <col min="5" max="5" width="23.85546875" style="2" bestFit="1" customWidth="1"/>
    <col min="6" max="6" width="14.85546875" style="2" bestFit="1" customWidth="1"/>
    <col min="7" max="7" width="5" style="2" bestFit="1" customWidth="1"/>
    <col min="8" max="8" width="14" style="2" customWidth="1"/>
    <col min="9" max="9" width="30" style="2" customWidth="1"/>
    <col min="10" max="16384" width="8.7109375" style="2"/>
  </cols>
  <sheetData>
    <row r="1" spans="1:9" ht="20.25" x14ac:dyDescent="0.25">
      <c r="A1" s="1" t="s">
        <v>186</v>
      </c>
      <c r="B1" s="1"/>
      <c r="C1" s="1"/>
      <c r="D1" s="1"/>
      <c r="E1" s="1"/>
      <c r="F1" s="1"/>
      <c r="G1" s="1"/>
      <c r="H1" s="1"/>
      <c r="I1" s="1"/>
    </row>
    <row r="3" spans="1:9" x14ac:dyDescent="0.25">
      <c r="A3" s="16" t="s">
        <v>187</v>
      </c>
      <c r="B3" s="16"/>
      <c r="C3" s="16"/>
      <c r="D3" s="16"/>
      <c r="E3" s="16"/>
      <c r="F3" s="16"/>
      <c r="G3" s="16"/>
      <c r="H3" s="16"/>
      <c r="I3" s="16"/>
    </row>
    <row r="4" spans="1:9" ht="25.5" x14ac:dyDescent="0.25">
      <c r="A4" s="10"/>
      <c r="B4" s="10" t="s">
        <v>188</v>
      </c>
      <c r="C4" s="10" t="s">
        <v>189</v>
      </c>
      <c r="D4" s="10" t="s">
        <v>190</v>
      </c>
    </row>
    <row r="5" spans="1:9" x14ac:dyDescent="0.25">
      <c r="B5" s="17" t="s">
        <v>191</v>
      </c>
      <c r="C5" s="17">
        <v>7.4999999999999997E-2</v>
      </c>
      <c r="D5" s="17" t="s">
        <v>192</v>
      </c>
    </row>
    <row r="6" spans="1:9" x14ac:dyDescent="0.25">
      <c r="B6" s="17" t="s">
        <v>23</v>
      </c>
      <c r="C6" s="17">
        <v>0.15</v>
      </c>
      <c r="D6" s="17" t="s">
        <v>193</v>
      </c>
    </row>
    <row r="7" spans="1:9" x14ac:dyDescent="0.25">
      <c r="B7" s="17" t="s">
        <v>15</v>
      </c>
      <c r="C7" s="17">
        <v>0.2</v>
      </c>
      <c r="D7" s="17" t="s">
        <v>194</v>
      </c>
    </row>
    <row r="8" spans="1:9" x14ac:dyDescent="0.25">
      <c r="B8" s="17" t="s">
        <v>88</v>
      </c>
      <c r="C8" s="17">
        <v>0.3</v>
      </c>
      <c r="D8" s="17" t="s">
        <v>195</v>
      </c>
    </row>
    <row r="9" spans="1:9" x14ac:dyDescent="0.25">
      <c r="B9" s="17" t="s">
        <v>85</v>
      </c>
      <c r="C9" s="17">
        <v>0.4</v>
      </c>
      <c r="D9" s="17" t="s">
        <v>196</v>
      </c>
    </row>
    <row r="12" spans="1:9" x14ac:dyDescent="0.25">
      <c r="A12" s="16" t="s">
        <v>197</v>
      </c>
      <c r="B12" s="16"/>
      <c r="C12" s="16"/>
      <c r="D12" s="16"/>
      <c r="E12" s="16"/>
      <c r="F12" s="16"/>
      <c r="G12" s="16"/>
      <c r="H12" s="16"/>
      <c r="I12" s="16"/>
    </row>
    <row r="13" spans="1:9" x14ac:dyDescent="0.25">
      <c r="A13" s="10"/>
      <c r="B13" s="10" t="s">
        <v>198</v>
      </c>
      <c r="C13" s="10" t="s">
        <v>199</v>
      </c>
      <c r="D13" s="2" t="s">
        <v>200</v>
      </c>
    </row>
    <row r="14" spans="1:9" x14ac:dyDescent="0.25">
      <c r="B14" s="18" t="s">
        <v>201</v>
      </c>
      <c r="C14" s="19" t="s">
        <v>202</v>
      </c>
      <c r="D14" s="19" t="s">
        <v>203</v>
      </c>
    </row>
    <row r="15" spans="1:9" x14ac:dyDescent="0.25">
      <c r="B15" s="18" t="s">
        <v>204</v>
      </c>
      <c r="C15" s="19" t="s">
        <v>205</v>
      </c>
      <c r="D15" s="19" t="s">
        <v>206</v>
      </c>
    </row>
    <row r="16" spans="1:9" x14ac:dyDescent="0.25">
      <c r="B16" s="18" t="s">
        <v>207</v>
      </c>
      <c r="C16" s="19" t="s">
        <v>208</v>
      </c>
      <c r="D16" s="19" t="s">
        <v>209</v>
      </c>
    </row>
    <row r="17" spans="1:9" x14ac:dyDescent="0.25">
      <c r="B17" s="18" t="s">
        <v>210</v>
      </c>
      <c r="C17" s="19" t="s">
        <v>211</v>
      </c>
      <c r="D17" s="19" t="s">
        <v>212</v>
      </c>
    </row>
    <row r="18" spans="1:9" x14ac:dyDescent="0.25">
      <c r="B18" s="18" t="s">
        <v>213</v>
      </c>
      <c r="C18" s="19" t="s">
        <v>214</v>
      </c>
      <c r="D18" s="19" t="s">
        <v>215</v>
      </c>
    </row>
    <row r="19" spans="1:9" x14ac:dyDescent="0.25">
      <c r="B19" s="18" t="s">
        <v>216</v>
      </c>
      <c r="C19" s="19" t="s">
        <v>217</v>
      </c>
      <c r="D19" s="19" t="s">
        <v>218</v>
      </c>
    </row>
    <row r="22" spans="1:9" x14ac:dyDescent="0.25">
      <c r="A22" s="16" t="s">
        <v>219</v>
      </c>
      <c r="B22" s="16"/>
      <c r="C22" s="16"/>
      <c r="D22" s="16"/>
      <c r="E22" s="16"/>
      <c r="F22" s="16"/>
      <c r="G22" s="16"/>
      <c r="H22" s="16"/>
      <c r="I22" s="16"/>
    </row>
    <row r="23" spans="1:9" x14ac:dyDescent="0.25">
      <c r="A23" s="10"/>
      <c r="B23" s="10" t="s">
        <v>220</v>
      </c>
      <c r="C23" s="10" t="s">
        <v>201</v>
      </c>
      <c r="D23" s="10" t="s">
        <v>204</v>
      </c>
      <c r="E23" s="10" t="s">
        <v>207</v>
      </c>
      <c r="F23" s="10" t="s">
        <v>210</v>
      </c>
      <c r="G23" s="2" t="s">
        <v>213</v>
      </c>
    </row>
    <row r="24" spans="1:9" x14ac:dyDescent="0.25">
      <c r="B24" s="17" t="s">
        <v>191</v>
      </c>
      <c r="C24" s="17">
        <v>0.06</v>
      </c>
      <c r="D24" s="17">
        <v>0.08</v>
      </c>
      <c r="E24" s="17">
        <v>0.09</v>
      </c>
      <c r="F24" s="17">
        <v>0.12</v>
      </c>
      <c r="G24" s="17">
        <v>0.19</v>
      </c>
    </row>
    <row r="25" spans="1:9" x14ac:dyDescent="0.25">
      <c r="B25" s="17" t="s">
        <v>23</v>
      </c>
      <c r="C25" s="17">
        <v>0.15</v>
      </c>
      <c r="D25" s="17">
        <v>0.15</v>
      </c>
      <c r="E25" s="17">
        <v>0.18</v>
      </c>
      <c r="F25" s="17">
        <v>0.22</v>
      </c>
      <c r="G25" s="17">
        <v>0.3</v>
      </c>
    </row>
    <row r="26" spans="1:9" x14ac:dyDescent="0.25">
      <c r="B26" s="17" t="s">
        <v>15</v>
      </c>
      <c r="C26" s="17">
        <v>0.2</v>
      </c>
      <c r="D26" s="17">
        <v>0.2</v>
      </c>
      <c r="E26" s="17">
        <v>0.24</v>
      </c>
      <c r="F26" s="17">
        <v>0.28000000000000003</v>
      </c>
      <c r="G26" s="17">
        <v>0.34</v>
      </c>
    </row>
    <row r="27" spans="1:9" x14ac:dyDescent="0.25">
      <c r="B27" s="17" t="s">
        <v>88</v>
      </c>
      <c r="C27" s="17">
        <v>0.3</v>
      </c>
      <c r="D27" s="17">
        <v>0.3</v>
      </c>
      <c r="E27" s="17">
        <v>0.33</v>
      </c>
      <c r="F27" s="17">
        <v>0.36</v>
      </c>
      <c r="G27" s="17">
        <v>0.36</v>
      </c>
    </row>
    <row r="28" spans="1:9" x14ac:dyDescent="0.25">
      <c r="B28" s="17" t="s">
        <v>85</v>
      </c>
      <c r="C28" s="17">
        <v>0.4</v>
      </c>
      <c r="D28" s="17">
        <v>0.4</v>
      </c>
      <c r="E28" s="17">
        <v>0.44</v>
      </c>
      <c r="F28" s="17">
        <v>0.44</v>
      </c>
      <c r="G28" s="17">
        <v>0.36</v>
      </c>
    </row>
    <row r="29" spans="1:9" x14ac:dyDescent="0.25">
      <c r="A29" s="6" t="s">
        <v>221</v>
      </c>
      <c r="B29" s="6"/>
      <c r="C29" s="6"/>
      <c r="D29" s="6"/>
      <c r="E29" s="6"/>
      <c r="F29" s="6"/>
      <c r="G29" s="6"/>
      <c r="H29" s="6"/>
      <c r="I29" s="6"/>
    </row>
    <row r="31" spans="1:9" x14ac:dyDescent="0.25">
      <c r="A31" s="16" t="s">
        <v>222</v>
      </c>
      <c r="B31" s="16"/>
      <c r="C31" s="16"/>
      <c r="D31" s="16"/>
      <c r="E31" s="16"/>
      <c r="F31" s="16"/>
      <c r="G31" s="16"/>
      <c r="H31" s="16"/>
      <c r="I31" s="16"/>
    </row>
    <row r="32" spans="1:9" x14ac:dyDescent="0.25">
      <c r="A32" s="10"/>
      <c r="B32" s="10" t="s">
        <v>220</v>
      </c>
      <c r="C32" s="10" t="s">
        <v>201</v>
      </c>
      <c r="D32" s="10" t="s">
        <v>204</v>
      </c>
      <c r="E32" s="10" t="s">
        <v>207</v>
      </c>
      <c r="F32" s="10" t="s">
        <v>210</v>
      </c>
      <c r="G32" s="2" t="s">
        <v>213</v>
      </c>
    </row>
    <row r="33" spans="1:9" x14ac:dyDescent="0.25">
      <c r="B33" s="17" t="s">
        <v>191</v>
      </c>
      <c r="C33" s="17">
        <v>0.06</v>
      </c>
      <c r="D33" s="17">
        <v>0.08</v>
      </c>
      <c r="E33" s="17">
        <v>0.13</v>
      </c>
      <c r="F33" s="17">
        <v>0.18</v>
      </c>
      <c r="G33" s="17">
        <v>0.26</v>
      </c>
    </row>
    <row r="34" spans="1:9" x14ac:dyDescent="0.25">
      <c r="B34" s="17" t="s">
        <v>23</v>
      </c>
      <c r="C34" s="17">
        <v>0.15</v>
      </c>
      <c r="D34" s="17">
        <v>0.15</v>
      </c>
      <c r="E34" s="17">
        <v>0.25</v>
      </c>
      <c r="F34" s="17">
        <v>0.32</v>
      </c>
      <c r="G34" s="17">
        <v>0.5</v>
      </c>
    </row>
    <row r="35" spans="1:9" x14ac:dyDescent="0.25">
      <c r="B35" s="17" t="s">
        <v>15</v>
      </c>
      <c r="C35" s="17">
        <v>0.2</v>
      </c>
      <c r="D35" s="17">
        <v>0.2</v>
      </c>
      <c r="E35" s="17">
        <v>0.32</v>
      </c>
      <c r="F35" s="17">
        <v>0.4</v>
      </c>
      <c r="G35" s="17">
        <v>0.64</v>
      </c>
    </row>
    <row r="36" spans="1:9" x14ac:dyDescent="0.25">
      <c r="B36" s="17" t="s">
        <v>88</v>
      </c>
      <c r="C36" s="17">
        <v>0.3</v>
      </c>
      <c r="D36" s="17">
        <v>0.3</v>
      </c>
      <c r="E36" s="17">
        <v>0.45</v>
      </c>
      <c r="F36" s="17">
        <v>0.54</v>
      </c>
      <c r="G36" s="17">
        <v>0.84</v>
      </c>
    </row>
    <row r="37" spans="1:9" x14ac:dyDescent="0.25">
      <c r="B37" s="17" t="s">
        <v>85</v>
      </c>
      <c r="C37" s="17">
        <v>0.4</v>
      </c>
      <c r="D37" s="17">
        <v>0.4</v>
      </c>
      <c r="E37" s="17">
        <v>0.6</v>
      </c>
      <c r="F37" s="17">
        <v>0.72</v>
      </c>
      <c r="G37" s="17">
        <v>0.96</v>
      </c>
    </row>
    <row r="38" spans="1:9" x14ac:dyDescent="0.25">
      <c r="A38" s="6" t="s">
        <v>223</v>
      </c>
      <c r="B38" s="6"/>
      <c r="C38" s="6"/>
      <c r="D38" s="6"/>
      <c r="E38" s="6"/>
      <c r="F38" s="6"/>
      <c r="G38" s="6"/>
      <c r="H38" s="6"/>
      <c r="I38" s="6"/>
    </row>
    <row r="40" spans="1:9" x14ac:dyDescent="0.25">
      <c r="A40" s="16" t="s">
        <v>224</v>
      </c>
      <c r="B40" s="16"/>
      <c r="C40" s="16"/>
      <c r="D40" s="16"/>
      <c r="E40" s="16"/>
      <c r="F40" s="16"/>
      <c r="G40" s="16"/>
      <c r="H40" s="16"/>
      <c r="I40" s="16"/>
    </row>
    <row r="41" spans="1:9" ht="25.5" x14ac:dyDescent="0.25">
      <c r="A41" s="10"/>
      <c r="B41" s="10" t="s">
        <v>225</v>
      </c>
      <c r="C41" s="10" t="s">
        <v>226</v>
      </c>
      <c r="D41" s="2" t="s">
        <v>227</v>
      </c>
    </row>
    <row r="42" spans="1:9" ht="63.75" x14ac:dyDescent="0.25">
      <c r="B42" s="20" t="s">
        <v>228</v>
      </c>
      <c r="C42" s="21">
        <v>1.5</v>
      </c>
      <c r="D42" s="21">
        <v>1.5</v>
      </c>
    </row>
    <row r="43" spans="1:9" ht="38.25" x14ac:dyDescent="0.25">
      <c r="B43" s="20" t="s">
        <v>229</v>
      </c>
      <c r="C43" s="21">
        <v>1.25</v>
      </c>
      <c r="D43" s="21">
        <v>1.5</v>
      </c>
    </row>
    <row r="44" spans="1:9" ht="51" x14ac:dyDescent="0.25">
      <c r="B44" s="20" t="s">
        <v>230</v>
      </c>
      <c r="C44" s="21">
        <v>1</v>
      </c>
      <c r="D44" s="21">
        <v>1</v>
      </c>
    </row>
    <row r="45" spans="1:9" ht="51" x14ac:dyDescent="0.25">
      <c r="B45" s="20" t="s">
        <v>231</v>
      </c>
      <c r="C45" s="21">
        <v>1</v>
      </c>
      <c r="D45" s="21">
        <v>1</v>
      </c>
    </row>
    <row r="48" spans="1:9" x14ac:dyDescent="0.25">
      <c r="A48" s="16" t="s">
        <v>232</v>
      </c>
      <c r="B48" s="16"/>
      <c r="C48" s="16"/>
      <c r="D48" s="16"/>
      <c r="E48" s="16"/>
      <c r="F48" s="16"/>
      <c r="G48" s="16"/>
      <c r="H48" s="16"/>
      <c r="I48" s="16"/>
    </row>
    <row r="49" spans="1:9" x14ac:dyDescent="0.25">
      <c r="A49" s="10"/>
      <c r="B49" s="10" t="s">
        <v>233</v>
      </c>
      <c r="C49" s="10" t="s">
        <v>234</v>
      </c>
      <c r="D49" s="10" t="s">
        <v>235</v>
      </c>
      <c r="E49" s="2" t="s">
        <v>236</v>
      </c>
    </row>
    <row r="50" spans="1:9" ht="38.25" x14ac:dyDescent="0.25">
      <c r="B50" s="20" t="s">
        <v>237</v>
      </c>
      <c r="C50" s="21">
        <v>8.5</v>
      </c>
      <c r="D50" s="21">
        <v>2.8</v>
      </c>
      <c r="E50" s="21" t="s">
        <v>238</v>
      </c>
    </row>
    <row r="51" spans="1:9" ht="51" x14ac:dyDescent="0.25">
      <c r="B51" s="20" t="s">
        <v>239</v>
      </c>
      <c r="C51" s="21">
        <v>8.5</v>
      </c>
      <c r="D51" s="21">
        <v>2.8</v>
      </c>
      <c r="E51" s="21" t="s">
        <v>238</v>
      </c>
    </row>
    <row r="52" spans="1:9" ht="51" x14ac:dyDescent="0.25">
      <c r="B52" s="20" t="s">
        <v>240</v>
      </c>
      <c r="C52" s="21">
        <v>5.5</v>
      </c>
      <c r="D52" s="21">
        <v>2.8</v>
      </c>
      <c r="E52" s="21">
        <v>160</v>
      </c>
    </row>
    <row r="53" spans="1:9" ht="38.25" x14ac:dyDescent="0.25">
      <c r="B53" s="20" t="s">
        <v>241</v>
      </c>
      <c r="C53" s="21">
        <v>4.5</v>
      </c>
      <c r="D53" s="21">
        <v>2.8</v>
      </c>
      <c r="E53" s="21">
        <v>160</v>
      </c>
    </row>
    <row r="54" spans="1:9" ht="51" x14ac:dyDescent="0.25">
      <c r="B54" s="20" t="s">
        <v>242</v>
      </c>
      <c r="C54" s="21">
        <v>3.5</v>
      </c>
      <c r="D54" s="21">
        <v>2.8</v>
      </c>
      <c r="E54" s="21" t="s">
        <v>243</v>
      </c>
    </row>
    <row r="55" spans="1:9" ht="38.25" x14ac:dyDescent="0.25">
      <c r="B55" s="20" t="s">
        <v>244</v>
      </c>
      <c r="C55" s="21">
        <v>4.5</v>
      </c>
      <c r="D55" s="21">
        <v>2.8</v>
      </c>
      <c r="E55" s="21">
        <v>240</v>
      </c>
    </row>
    <row r="56" spans="1:9" ht="51" x14ac:dyDescent="0.25">
      <c r="B56" s="20" t="s">
        <v>245</v>
      </c>
      <c r="C56" s="21">
        <v>5.5</v>
      </c>
      <c r="D56" s="21">
        <v>2.8</v>
      </c>
      <c r="E56" s="21">
        <v>160</v>
      </c>
    </row>
    <row r="57" spans="1:9" ht="38.25" x14ac:dyDescent="0.25">
      <c r="B57" s="20" t="s">
        <v>246</v>
      </c>
      <c r="C57" s="21">
        <v>8.5</v>
      </c>
      <c r="D57" s="21">
        <v>2.8</v>
      </c>
      <c r="E57" s="21" t="s">
        <v>238</v>
      </c>
    </row>
    <row r="58" spans="1:9" ht="51" x14ac:dyDescent="0.25">
      <c r="B58" s="20" t="s">
        <v>247</v>
      </c>
      <c r="C58" s="21">
        <v>6.5</v>
      </c>
      <c r="D58" s="21">
        <v>2.8</v>
      </c>
      <c r="E58" s="21">
        <v>160</v>
      </c>
    </row>
    <row r="59" spans="1:9" ht="38.25" x14ac:dyDescent="0.25">
      <c r="B59" s="20" t="s">
        <v>248</v>
      </c>
      <c r="C59" s="21">
        <v>4.5</v>
      </c>
      <c r="D59" s="21">
        <v>2.8</v>
      </c>
      <c r="E59" s="21">
        <v>160</v>
      </c>
    </row>
    <row r="60" spans="1:9" ht="38.25" x14ac:dyDescent="0.25">
      <c r="B60" s="20" t="s">
        <v>249</v>
      </c>
      <c r="C60" s="21">
        <v>2.2000000000000002</v>
      </c>
      <c r="D60" s="21">
        <v>2</v>
      </c>
      <c r="E60" s="21">
        <v>35</v>
      </c>
    </row>
    <row r="61" spans="1:9" x14ac:dyDescent="0.25">
      <c r="A61" s="6" t="s">
        <v>312</v>
      </c>
      <c r="B61" s="6"/>
      <c r="C61" s="6"/>
      <c r="D61" s="6"/>
      <c r="E61" s="6"/>
      <c r="F61" s="6"/>
      <c r="G61" s="6"/>
      <c r="H61" s="6"/>
      <c r="I61" s="6"/>
    </row>
    <row r="63" spans="1:9" x14ac:dyDescent="0.25">
      <c r="A63" s="16" t="s">
        <v>250</v>
      </c>
      <c r="B63" s="16"/>
      <c r="C63" s="16"/>
      <c r="D63" s="16"/>
      <c r="E63" s="16"/>
      <c r="F63" s="16"/>
      <c r="G63" s="16"/>
      <c r="H63" s="16"/>
      <c r="I63" s="16"/>
    </row>
    <row r="64" spans="1:9" ht="25.5" x14ac:dyDescent="0.25">
      <c r="A64" s="10"/>
      <c r="B64" s="10" t="s">
        <v>251</v>
      </c>
      <c r="C64" s="10" t="s">
        <v>252</v>
      </c>
      <c r="D64" s="10" t="s">
        <v>253</v>
      </c>
      <c r="E64" s="10" t="s">
        <v>254</v>
      </c>
      <c r="F64" s="2" t="s">
        <v>255</v>
      </c>
    </row>
    <row r="65" spans="1:9" x14ac:dyDescent="0.25">
      <c r="B65" s="17" t="s">
        <v>256</v>
      </c>
      <c r="C65" s="17">
        <v>1.5</v>
      </c>
      <c r="D65" s="17">
        <v>1.2</v>
      </c>
      <c r="E65" s="17">
        <v>1</v>
      </c>
      <c r="F65" s="17" t="s">
        <v>218</v>
      </c>
    </row>
    <row r="66" spans="1:9" x14ac:dyDescent="0.25">
      <c r="B66" s="17" t="s">
        <v>257</v>
      </c>
      <c r="C66" s="17">
        <v>1.3</v>
      </c>
      <c r="D66" s="17">
        <v>1</v>
      </c>
      <c r="E66" s="17">
        <v>1</v>
      </c>
      <c r="F66" s="17" t="s">
        <v>218</v>
      </c>
    </row>
    <row r="67" spans="1:9" x14ac:dyDescent="0.25">
      <c r="B67" s="17" t="s">
        <v>258</v>
      </c>
      <c r="C67" s="17">
        <v>1</v>
      </c>
      <c r="D67" s="17">
        <v>1</v>
      </c>
      <c r="E67" s="17">
        <v>1</v>
      </c>
      <c r="F67" s="17" t="s">
        <v>218</v>
      </c>
    </row>
    <row r="68" spans="1:9" x14ac:dyDescent="0.25">
      <c r="B68" s="17" t="s">
        <v>259</v>
      </c>
      <c r="C68" s="17">
        <v>2</v>
      </c>
      <c r="D68" s="17">
        <v>1.6</v>
      </c>
      <c r="E68" s="17">
        <v>1.2</v>
      </c>
      <c r="F68" s="17">
        <v>1</v>
      </c>
    </row>
    <row r="69" spans="1:9" x14ac:dyDescent="0.25">
      <c r="B69" s="17" t="s">
        <v>260</v>
      </c>
      <c r="C69" s="17">
        <v>1.6</v>
      </c>
      <c r="D69" s="17">
        <v>1.2</v>
      </c>
      <c r="E69" s="17">
        <v>1</v>
      </c>
      <c r="F69" s="17">
        <v>1</v>
      </c>
    </row>
    <row r="70" spans="1:9" x14ac:dyDescent="0.25">
      <c r="B70" s="17" t="s">
        <v>261</v>
      </c>
      <c r="C70" s="17">
        <v>1</v>
      </c>
      <c r="D70" s="17">
        <v>1</v>
      </c>
      <c r="E70" s="17">
        <v>1</v>
      </c>
      <c r="F70" s="17">
        <v>1</v>
      </c>
    </row>
    <row r="71" spans="1:9" x14ac:dyDescent="0.25">
      <c r="A71" s="22" t="s">
        <v>262</v>
      </c>
      <c r="B71" s="22"/>
      <c r="C71" s="22"/>
      <c r="D71" s="22"/>
      <c r="E71" s="22"/>
      <c r="F71" s="22"/>
      <c r="G71" s="22"/>
      <c r="H71" s="22"/>
      <c r="I71" s="22"/>
    </row>
    <row r="73" spans="1:9" x14ac:dyDescent="0.25">
      <c r="A73" s="16"/>
      <c r="B73" s="16"/>
      <c r="C73" s="16"/>
      <c r="D73" s="16"/>
      <c r="E73" s="16"/>
      <c r="F73" s="16"/>
      <c r="G73" s="16"/>
      <c r="H73" s="16"/>
      <c r="I73" s="16"/>
    </row>
  </sheetData>
  <mergeCells count="13">
    <mergeCell ref="A63:I63"/>
    <mergeCell ref="A71:I71"/>
    <mergeCell ref="A73:I73"/>
    <mergeCell ref="A31:I31"/>
    <mergeCell ref="A38:I38"/>
    <mergeCell ref="A40:I40"/>
    <mergeCell ref="A48:I48"/>
    <mergeCell ref="A61:I61"/>
    <mergeCell ref="A1:I1"/>
    <mergeCell ref="A3:I3"/>
    <mergeCell ref="A12:I12"/>
    <mergeCell ref="A22:I22"/>
    <mergeCell ref="A29:I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showGridLines="0" tabSelected="1" zoomScaleNormal="100" workbookViewId="0">
      <selection activeCell="C45" sqref="C45"/>
    </sheetView>
  </sheetViews>
  <sheetFormatPr defaultColWidth="8.7109375" defaultRowHeight="15" x14ac:dyDescent="0.25"/>
  <cols>
    <col min="1" max="1" width="16" style="2" customWidth="1"/>
    <col min="2" max="6" width="18" style="2" customWidth="1"/>
    <col min="7" max="7" width="61.42578125" style="2" customWidth="1"/>
    <col min="8" max="16384" width="8.7109375" style="2"/>
  </cols>
  <sheetData>
    <row r="1" spans="1:9" ht="20.25" x14ac:dyDescent="0.25">
      <c r="A1" s="23" t="s">
        <v>263</v>
      </c>
      <c r="B1" s="23"/>
      <c r="C1" s="23"/>
      <c r="D1" s="23"/>
      <c r="E1" s="23"/>
      <c r="F1" s="23"/>
      <c r="G1" s="23"/>
    </row>
    <row r="3" spans="1:9" ht="27.75" customHeight="1" x14ac:dyDescent="0.25">
      <c r="A3" s="24" t="s">
        <v>264</v>
      </c>
      <c r="B3" s="24"/>
      <c r="C3" s="24"/>
      <c r="D3" s="24"/>
      <c r="E3" s="24"/>
      <c r="F3" s="24"/>
      <c r="G3" s="24"/>
    </row>
    <row r="5" spans="1:9" x14ac:dyDescent="0.25">
      <c r="A5" s="25" t="s">
        <v>265</v>
      </c>
      <c r="B5" s="25"/>
      <c r="C5" s="25"/>
      <c r="D5" s="25"/>
      <c r="E5" s="25"/>
      <c r="F5" s="25"/>
      <c r="G5" s="25"/>
      <c r="H5" s="25"/>
      <c r="I5" s="25"/>
    </row>
    <row r="6" spans="1:9" x14ac:dyDescent="0.25">
      <c r="A6" s="21"/>
      <c r="B6" s="21" t="s">
        <v>266</v>
      </c>
      <c r="C6" s="21" t="s">
        <v>199</v>
      </c>
      <c r="D6" s="2" t="s">
        <v>267</v>
      </c>
    </row>
    <row r="7" spans="1:9" x14ac:dyDescent="0.25">
      <c r="B7" s="19" t="s">
        <v>268</v>
      </c>
      <c r="C7" s="19" t="s">
        <v>202</v>
      </c>
      <c r="D7" s="19" t="s">
        <v>203</v>
      </c>
    </row>
    <row r="8" spans="1:9" x14ac:dyDescent="0.25">
      <c r="B8" s="19" t="s">
        <v>269</v>
      </c>
      <c r="C8" s="19" t="s">
        <v>205</v>
      </c>
      <c r="D8" s="19" t="s">
        <v>270</v>
      </c>
    </row>
    <row r="9" spans="1:9" ht="25.5" x14ac:dyDescent="0.25">
      <c r="B9" s="19" t="s">
        <v>271</v>
      </c>
      <c r="C9" s="19" t="s">
        <v>272</v>
      </c>
      <c r="D9" s="19" t="s">
        <v>273</v>
      </c>
    </row>
    <row r="10" spans="1:9" ht="38.25" x14ac:dyDescent="0.25">
      <c r="B10" s="19" t="s">
        <v>274</v>
      </c>
      <c r="C10" s="19" t="s">
        <v>275</v>
      </c>
      <c r="D10" s="19" t="s">
        <v>276</v>
      </c>
    </row>
    <row r="11" spans="1:9" x14ac:dyDescent="0.25">
      <c r="B11" s="19" t="s">
        <v>277</v>
      </c>
      <c r="C11" s="19" t="s">
        <v>278</v>
      </c>
      <c r="D11" s="19" t="s">
        <v>279</v>
      </c>
    </row>
    <row r="12" spans="1:9" ht="25.5" x14ac:dyDescent="0.25">
      <c r="B12" s="19" t="s">
        <v>280</v>
      </c>
      <c r="C12" s="19" t="s">
        <v>281</v>
      </c>
      <c r="D12" s="19" t="s">
        <v>218</v>
      </c>
    </row>
    <row r="15" spans="1:9" x14ac:dyDescent="0.25">
      <c r="A15" s="25" t="s">
        <v>282</v>
      </c>
      <c r="B15" s="25"/>
      <c r="C15" s="25"/>
      <c r="D15" s="25"/>
      <c r="E15" s="25"/>
      <c r="F15" s="25"/>
      <c r="G15" s="25"/>
      <c r="H15" s="25"/>
      <c r="I15" s="25"/>
    </row>
    <row r="16" spans="1:9" x14ac:dyDescent="0.25">
      <c r="A16" s="21"/>
      <c r="B16" s="21" t="s">
        <v>266</v>
      </c>
      <c r="C16" s="21" t="s">
        <v>283</v>
      </c>
      <c r="D16" s="21" t="s">
        <v>284</v>
      </c>
      <c r="E16" s="21" t="s">
        <v>285</v>
      </c>
      <c r="F16" s="21" t="s">
        <v>286</v>
      </c>
      <c r="G16" s="21" t="s">
        <v>287</v>
      </c>
      <c r="H16" s="2" t="s">
        <v>288</v>
      </c>
    </row>
    <row r="17" spans="1:9" x14ac:dyDescent="0.25">
      <c r="B17" s="17" t="s">
        <v>268</v>
      </c>
      <c r="C17" s="17">
        <v>0.8</v>
      </c>
      <c r="D17" s="17">
        <v>0.8</v>
      </c>
      <c r="E17" s="17">
        <v>0.8</v>
      </c>
      <c r="F17" s="17">
        <v>0.8</v>
      </c>
      <c r="G17" s="17">
        <v>0.8</v>
      </c>
      <c r="H17" s="17">
        <v>0.8</v>
      </c>
    </row>
    <row r="18" spans="1:9" x14ac:dyDescent="0.25">
      <c r="B18" s="17" t="s">
        <v>269</v>
      </c>
      <c r="C18" s="17">
        <v>0.9</v>
      </c>
      <c r="D18" s="17">
        <v>0.9</v>
      </c>
      <c r="E18" s="17">
        <v>0.9</v>
      </c>
      <c r="F18" s="17">
        <v>0.9</v>
      </c>
      <c r="G18" s="17">
        <v>0.9</v>
      </c>
      <c r="H18" s="17">
        <v>0.9</v>
      </c>
    </row>
    <row r="19" spans="1:9" x14ac:dyDescent="0.25">
      <c r="B19" s="17" t="s">
        <v>271</v>
      </c>
      <c r="C19" s="17">
        <v>1.3</v>
      </c>
      <c r="D19" s="17">
        <v>1.3</v>
      </c>
      <c r="E19" s="17">
        <v>1.2</v>
      </c>
      <c r="F19" s="17">
        <v>1.2</v>
      </c>
      <c r="G19" s="17">
        <v>1.2</v>
      </c>
      <c r="H19" s="17">
        <v>1.2</v>
      </c>
    </row>
    <row r="20" spans="1:9" x14ac:dyDescent="0.25">
      <c r="B20" s="17" t="s">
        <v>274</v>
      </c>
      <c r="C20" s="17">
        <v>1.6</v>
      </c>
      <c r="D20" s="17">
        <v>1.4</v>
      </c>
      <c r="E20" s="17">
        <v>1.2</v>
      </c>
      <c r="F20" s="17">
        <v>1.1000000000000001</v>
      </c>
      <c r="G20" s="17">
        <v>1</v>
      </c>
      <c r="H20" s="17">
        <v>1</v>
      </c>
    </row>
    <row r="21" spans="1:9" x14ac:dyDescent="0.25">
      <c r="B21" s="17" t="s">
        <v>277</v>
      </c>
      <c r="C21" s="17">
        <v>2.4</v>
      </c>
      <c r="D21" s="17">
        <v>1.7</v>
      </c>
      <c r="E21" s="17">
        <v>1.3</v>
      </c>
      <c r="F21" s="17" t="s">
        <v>289</v>
      </c>
      <c r="G21" s="17" t="s">
        <v>289</v>
      </c>
      <c r="H21" s="17" t="s">
        <v>289</v>
      </c>
    </row>
    <row r="24" spans="1:9" x14ac:dyDescent="0.25">
      <c r="A24" s="25" t="s">
        <v>290</v>
      </c>
      <c r="B24" s="25"/>
      <c r="C24" s="25"/>
      <c r="D24" s="25"/>
      <c r="E24" s="25"/>
      <c r="F24" s="25"/>
      <c r="G24" s="25"/>
      <c r="H24" s="25"/>
      <c r="I24" s="25"/>
    </row>
    <row r="25" spans="1:9" x14ac:dyDescent="0.25">
      <c r="A25" s="21"/>
      <c r="B25" s="21" t="s">
        <v>266</v>
      </c>
      <c r="C25" s="21" t="s">
        <v>291</v>
      </c>
      <c r="D25" s="21" t="s">
        <v>292</v>
      </c>
      <c r="E25" s="21" t="s">
        <v>293</v>
      </c>
      <c r="F25" s="21" t="s">
        <v>294</v>
      </c>
      <c r="G25" s="21" t="s">
        <v>295</v>
      </c>
      <c r="H25" s="2" t="s">
        <v>296</v>
      </c>
    </row>
    <row r="26" spans="1:9" x14ac:dyDescent="0.25">
      <c r="B26" s="17" t="s">
        <v>268</v>
      </c>
      <c r="C26" s="17">
        <v>0.8</v>
      </c>
      <c r="D26" s="17">
        <v>0.8</v>
      </c>
      <c r="E26" s="17">
        <v>0.8</v>
      </c>
      <c r="F26" s="17">
        <v>0.8</v>
      </c>
      <c r="G26" s="17">
        <v>0.8</v>
      </c>
      <c r="H26" s="17">
        <v>0.8</v>
      </c>
    </row>
    <row r="27" spans="1:9" x14ac:dyDescent="0.25">
      <c r="B27" s="17" t="s">
        <v>269</v>
      </c>
      <c r="C27" s="17">
        <v>0.8</v>
      </c>
      <c r="D27" s="17">
        <v>0.8</v>
      </c>
      <c r="E27" s="17">
        <v>0.8</v>
      </c>
      <c r="F27" s="17">
        <v>0.8</v>
      </c>
      <c r="G27" s="17">
        <v>0.8</v>
      </c>
      <c r="H27" s="17">
        <v>0.8</v>
      </c>
    </row>
    <row r="28" spans="1:9" x14ac:dyDescent="0.25">
      <c r="B28" s="17" t="s">
        <v>271</v>
      </c>
      <c r="C28" s="17">
        <v>1.5</v>
      </c>
      <c r="D28" s="17">
        <v>1.5</v>
      </c>
      <c r="E28" s="17">
        <v>1.5</v>
      </c>
      <c r="F28" s="17">
        <v>1.5</v>
      </c>
      <c r="G28" s="17">
        <v>1.5</v>
      </c>
      <c r="H28" s="17">
        <v>1.4</v>
      </c>
    </row>
    <row r="29" spans="1:9" x14ac:dyDescent="0.25">
      <c r="B29" s="17" t="s">
        <v>274</v>
      </c>
      <c r="C29" s="17">
        <v>2.4</v>
      </c>
      <c r="D29" s="17">
        <v>2.2000000000000002</v>
      </c>
      <c r="E29" s="17">
        <v>2</v>
      </c>
      <c r="F29" s="17">
        <v>1.9</v>
      </c>
      <c r="G29" s="17">
        <v>1.8</v>
      </c>
      <c r="H29" s="17">
        <v>1.7</v>
      </c>
    </row>
    <row r="30" spans="1:9" x14ac:dyDescent="0.25">
      <c r="B30" s="17" t="s">
        <v>277</v>
      </c>
      <c r="C30" s="17">
        <v>4.2</v>
      </c>
      <c r="D30" s="17">
        <v>3.3</v>
      </c>
      <c r="E30" s="17">
        <v>2.8</v>
      </c>
      <c r="F30" s="17" t="s">
        <v>289</v>
      </c>
      <c r="G30" s="17" t="s">
        <v>289</v>
      </c>
      <c r="H30" s="17" t="s">
        <v>289</v>
      </c>
    </row>
    <row r="33" spans="1:9" x14ac:dyDescent="0.25">
      <c r="A33" s="25" t="s">
        <v>297</v>
      </c>
      <c r="B33" s="25"/>
      <c r="C33" s="25"/>
      <c r="D33" s="25"/>
      <c r="E33" s="25"/>
      <c r="F33" s="25"/>
      <c r="G33" s="25"/>
      <c r="H33" s="25"/>
      <c r="I33" s="25"/>
    </row>
    <row r="34" spans="1:9" x14ac:dyDescent="0.25">
      <c r="B34" s="15" t="s">
        <v>298</v>
      </c>
    </row>
    <row r="35" spans="1:9" x14ac:dyDescent="0.25">
      <c r="B35" s="15" t="s">
        <v>299</v>
      </c>
    </row>
    <row r="36" spans="1:9" x14ac:dyDescent="0.25">
      <c r="B36" s="15" t="s">
        <v>300</v>
      </c>
    </row>
    <row r="37" spans="1:9" x14ac:dyDescent="0.25">
      <c r="B37" s="15" t="s">
        <v>301</v>
      </c>
    </row>
  </sheetData>
  <mergeCells count="6">
    <mergeCell ref="A33:I33"/>
    <mergeCell ref="A1:G1"/>
    <mergeCell ref="A3:G3"/>
    <mergeCell ref="A5:I5"/>
    <mergeCell ref="A15:I15"/>
    <mergeCell ref="A24:I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District Seismic Zones</vt:lpstr>
      <vt:lpstr>UBC-97 Parameters</vt:lpstr>
      <vt:lpstr>ASCE 7 Approx.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Tufail Mabood</cp:lastModifiedBy>
  <cp:revision>0</cp:revision>
  <dcterms:created xsi:type="dcterms:W3CDTF">2026-09-08T06:43:18Z</dcterms:created>
  <dcterms:modified xsi:type="dcterms:W3CDTF">2026-09-08T07:01:42Z</dcterms:modified>
  <dc:language>en-US</dc:language>
</cp:coreProperties>
</file>