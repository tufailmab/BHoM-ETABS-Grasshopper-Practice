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xcel Sheets\"/>
    </mc:Choice>
  </mc:AlternateContent>
  <xr:revisionPtr revIDLastSave="0" documentId="13_ncr:1_{0A85CA2A-B985-491F-A1A2-600873D6263F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Story Drift Check" sheetId="2" r:id="rId1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2" l="1"/>
  <c r="H9" i="2" s="1"/>
  <c r="J9" i="2" s="1"/>
  <c r="G9" i="2"/>
  <c r="I9" i="2" s="1"/>
  <c r="F10" i="2"/>
  <c r="H10" i="2" s="1"/>
  <c r="J10" i="2" s="1"/>
  <c r="G10" i="2"/>
  <c r="I10" i="2" s="1"/>
  <c r="K10" i="2" s="1"/>
  <c r="F11" i="2"/>
  <c r="H11" i="2" s="1"/>
  <c r="J11" i="2" s="1"/>
  <c r="G11" i="2"/>
  <c r="I11" i="2" s="1"/>
  <c r="K11" i="2" s="1"/>
  <c r="F12" i="2"/>
  <c r="H12" i="2" s="1"/>
  <c r="J12" i="2" s="1"/>
  <c r="G12" i="2"/>
  <c r="I12" i="2" s="1"/>
  <c r="K12" i="2" s="1"/>
  <c r="F13" i="2"/>
  <c r="H13" i="2" s="1"/>
  <c r="J13" i="2" s="1"/>
  <c r="G13" i="2"/>
  <c r="I13" i="2" s="1"/>
  <c r="K13" i="2" s="1"/>
  <c r="F14" i="2"/>
  <c r="H14" i="2" s="1"/>
  <c r="J14" i="2" s="1"/>
  <c r="G14" i="2"/>
  <c r="I14" i="2" s="1"/>
  <c r="K14" i="2" s="1"/>
  <c r="F15" i="2"/>
  <c r="H15" i="2" s="1"/>
  <c r="J15" i="2" s="1"/>
  <c r="G15" i="2"/>
  <c r="I15" i="2" s="1"/>
  <c r="K15" i="2" s="1"/>
  <c r="F16" i="2"/>
  <c r="H16" i="2" s="1"/>
  <c r="J16" i="2" s="1"/>
  <c r="G16" i="2"/>
  <c r="I16" i="2" s="1"/>
  <c r="K16" i="2" s="1"/>
  <c r="F17" i="2"/>
  <c r="H17" i="2" s="1"/>
  <c r="J17" i="2" s="1"/>
  <c r="G17" i="2"/>
  <c r="I17" i="2" s="1"/>
  <c r="K17" i="2" s="1"/>
  <c r="F18" i="2"/>
  <c r="H18" i="2" s="1"/>
  <c r="J18" i="2" s="1"/>
  <c r="G18" i="2"/>
  <c r="I18" i="2" s="1"/>
  <c r="K18" i="2" s="1"/>
  <c r="F19" i="2"/>
  <c r="H19" i="2" s="1"/>
  <c r="J19" i="2" s="1"/>
  <c r="G19" i="2"/>
  <c r="I19" i="2" s="1"/>
  <c r="K19" i="2" s="1"/>
  <c r="J22" i="2" l="1"/>
  <c r="I21" i="2"/>
  <c r="K9" i="2"/>
  <c r="K22" i="2" s="1"/>
  <c r="H21" i="2"/>
</calcChain>
</file>

<file path=xl/sharedStrings.xml><?xml version="1.0" encoding="utf-8"?>
<sst xmlns="http://schemas.openxmlformats.org/spreadsheetml/2006/main" count="29" uniqueCount="28">
  <si>
    <t>Status X</t>
  </si>
  <si>
    <t>Status Y</t>
  </si>
  <si>
    <t>Drift Check (calculated from paste area)</t>
  </si>
  <si>
    <t>R (response modification factor)</t>
  </si>
  <si>
    <t>Story</t>
  </si>
  <si>
    <t>Allowable drift ratio</t>
  </si>
  <si>
    <t>Mumty</t>
  </si>
  <si>
    <t>Story10</t>
  </si>
  <si>
    <t>Story9</t>
  </si>
  <si>
    <t>Height h (ft)</t>
  </si>
  <si>
    <t>Max Drift X (in)</t>
  </si>
  <si>
    <t>Max Drift Y (in)</t>
  </si>
  <si>
    <t>Dmx=0.7R.Dsx</t>
  </si>
  <si>
    <t>Dmy=0.7R.Dsy</t>
  </si>
  <si>
    <t>Ratio X</t>
  </si>
  <si>
    <t>Ratio Y</t>
  </si>
  <si>
    <t>Story8</t>
  </si>
  <si>
    <t>Story7</t>
  </si>
  <si>
    <t>Story6</t>
  </si>
  <si>
    <t>Story5</t>
  </si>
  <si>
    <t>Story4</t>
  </si>
  <si>
    <t>Story3</t>
  </si>
  <si>
    <t>Story2</t>
  </si>
  <si>
    <t>Story1</t>
  </si>
  <si>
    <t>Worst-case ratio</t>
  </si>
  <si>
    <t>Number of stories failing</t>
  </si>
  <si>
    <t>Dm = 0.7 x R x Ds  |  Allowable: 0.020 hsx (T&gt;=0.7s) or 0.025 hsx (T&lt;0.7s)  |  UBC-97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</si>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</sst>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3" x14ac:knownFonts="1">
    <font>
      <sz val="11"/>
      <color theme="1"/>
      <name val="Calibri"/>
      <family val="2"/>
      <charset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10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2"/>
  <sheetViews>
    <sheetView tabSelected="1" zoomScaleNormal="100" workbookViewId="0">
      <selection activeCell="C7" sqref="C7"/>
    </sheetView>
  </sheetViews>
  <sheetFormatPr defaultColWidth="8.7109375" defaultRowHeight="12.75" x14ac:dyDescent="0.2"/>
  <cols>
    <col min="1" max="1" width="3.5703125" style="2" customWidth="1"/>
    <col min="2" max="2" width="51.5703125" style="2" bestFit="1" customWidth="1"/>
    <col min="3" max="3" width="10" style="2" customWidth="1"/>
    <col min="4" max="11" width="11" style="2" customWidth="1"/>
    <col min="12" max="16384" width="8.7109375" style="2"/>
  </cols>
  <sheetData>
    <row r="2" spans="2:11" x14ac:dyDescent="0.2">
      <c r="B2" s="1" t="s">
        <v>2</v>
      </c>
    </row>
    <row r="3" spans="2:11" x14ac:dyDescent="0.2">
      <c r="B3" s="12" t="s">
        <v>26</v>
      </c>
      <c r="C3" s="12"/>
      <c r="D3" s="12"/>
      <c r="E3" s="12"/>
      <c r="F3" s="12"/>
      <c r="G3" s="12"/>
      <c r="H3" s="12"/>
      <c r="I3" s="12"/>
    </row>
    <row r="5" spans="2:11" x14ac:dyDescent="0.2">
      <c r="B5" s="1" t="s">
        <v>3</v>
      </c>
      <c r="C5" s="5">
        <v>8.5</v>
      </c>
      <c r="D5" s="2" t="s">
        <v>27</v>
      </c>
    </row>
    <row r="6" spans="2:11" x14ac:dyDescent="0.2">
      <c r="B6" s="1" t="s">
        <v>5</v>
      </c>
      <c r="C6" s="6">
        <v>0.02</v>
      </c>
      <c r="D6" s="2" t="s">
        <v>27</v>
      </c>
    </row>
    <row r="8" spans="2:11" ht="25.5" x14ac:dyDescent="0.2">
      <c r="B8" s="3" t="s">
        <v>4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0</v>
      </c>
      <c r="K8" s="3" t="s">
        <v>1</v>
      </c>
    </row>
    <row r="9" spans="2:11" ht="15" x14ac:dyDescent="0.2">
      <c r="B9" s="7" t="s">
        <v>6</v>
      </c>
      <c r="C9" s="7">
        <v>9</v>
      </c>
      <c r="D9" s="11">
        <v>0.35322399999999998</v>
      </c>
      <c r="E9" s="11">
        <v>0.18725600000000001</v>
      </c>
      <c r="F9" s="8">
        <f t="shared" ref="F9:F19" si="0">0.7*$C$5*D9</f>
        <v>2.1016827999999999</v>
      </c>
      <c r="G9" s="8">
        <f t="shared" ref="G9:G19" si="1">0.7*$C$5*E9</f>
        <v>1.1141732</v>
      </c>
      <c r="H9" s="9">
        <f t="shared" ref="H9:H19" si="2">F9/(C9*12)</f>
        <v>1.9460025925925925E-2</v>
      </c>
      <c r="I9" s="9">
        <f t="shared" ref="I9:I19" si="3">G9/(C9*12)</f>
        <v>1.0316418518518519E-2</v>
      </c>
      <c r="J9" s="10" t="str">
        <f t="shared" ref="J9:J19" si="4">IF(H9&gt;$C$6,"FAIL","OK")</f>
        <v>OK</v>
      </c>
      <c r="K9" s="10" t="str">
        <f t="shared" ref="K9:K19" si="5">IF(I9&gt;$C$6,"FAIL","OK")</f>
        <v>OK</v>
      </c>
    </row>
    <row r="10" spans="2:11" ht="15" x14ac:dyDescent="0.2">
      <c r="B10" s="7" t="s">
        <v>7</v>
      </c>
      <c r="C10" s="7">
        <v>12</v>
      </c>
      <c r="D10" s="11">
        <v>0.35853800000000002</v>
      </c>
      <c r="E10" s="11">
        <v>0.24328</v>
      </c>
      <c r="F10" s="8">
        <f t="shared" si="0"/>
        <v>2.1333010999999997</v>
      </c>
      <c r="G10" s="8">
        <f t="shared" si="1"/>
        <v>1.4475159999999998</v>
      </c>
      <c r="H10" s="9">
        <f t="shared" si="2"/>
        <v>1.481459097222222E-2</v>
      </c>
      <c r="I10" s="9">
        <f t="shared" si="3"/>
        <v>1.0052194444444443E-2</v>
      </c>
      <c r="J10" s="10" t="str">
        <f t="shared" si="4"/>
        <v>OK</v>
      </c>
      <c r="K10" s="10" t="str">
        <f t="shared" si="5"/>
        <v>OK</v>
      </c>
    </row>
    <row r="11" spans="2:11" ht="15" x14ac:dyDescent="0.2">
      <c r="B11" s="7" t="s">
        <v>8</v>
      </c>
      <c r="C11" s="7">
        <v>12</v>
      </c>
      <c r="D11" s="11">
        <v>0.36717</v>
      </c>
      <c r="E11" s="11">
        <v>0.24705299999999999</v>
      </c>
      <c r="F11" s="8">
        <f t="shared" si="0"/>
        <v>2.1846614999999998</v>
      </c>
      <c r="G11" s="8">
        <f t="shared" si="1"/>
        <v>1.4699653499999998</v>
      </c>
      <c r="H11" s="9">
        <f t="shared" si="2"/>
        <v>1.5171260416666665E-2</v>
      </c>
      <c r="I11" s="9">
        <f t="shared" si="3"/>
        <v>1.0208092708333331E-2</v>
      </c>
      <c r="J11" s="10" t="str">
        <f t="shared" si="4"/>
        <v>OK</v>
      </c>
      <c r="K11" s="10" t="str">
        <f t="shared" si="5"/>
        <v>OK</v>
      </c>
    </row>
    <row r="12" spans="2:11" ht="15" x14ac:dyDescent="0.2">
      <c r="B12" s="7" t="s">
        <v>16</v>
      </c>
      <c r="C12" s="7">
        <v>12</v>
      </c>
      <c r="D12" s="11">
        <v>0.37246299999999999</v>
      </c>
      <c r="E12" s="11">
        <v>0.247393</v>
      </c>
      <c r="F12" s="8">
        <f t="shared" si="0"/>
        <v>2.2161548499999997</v>
      </c>
      <c r="G12" s="8">
        <f t="shared" si="1"/>
        <v>1.4719883499999999</v>
      </c>
      <c r="H12" s="9">
        <f t="shared" si="2"/>
        <v>1.5389964236111109E-2</v>
      </c>
      <c r="I12" s="9">
        <f t="shared" si="3"/>
        <v>1.0222141319444444E-2</v>
      </c>
      <c r="J12" s="10" t="str">
        <f t="shared" si="4"/>
        <v>OK</v>
      </c>
      <c r="K12" s="10" t="str">
        <f t="shared" si="5"/>
        <v>OK</v>
      </c>
    </row>
    <row r="13" spans="2:11" ht="15" x14ac:dyDescent="0.2">
      <c r="B13" s="7" t="s">
        <v>17</v>
      </c>
      <c r="C13" s="7">
        <v>12</v>
      </c>
      <c r="D13" s="11">
        <v>0.37243300000000001</v>
      </c>
      <c r="E13" s="11">
        <v>0.243309</v>
      </c>
      <c r="F13" s="8">
        <f t="shared" si="0"/>
        <v>2.21597635</v>
      </c>
      <c r="G13" s="8">
        <f t="shared" si="1"/>
        <v>1.4476885499999999</v>
      </c>
      <c r="H13" s="9">
        <f t="shared" si="2"/>
        <v>1.5388724652777777E-2</v>
      </c>
      <c r="I13" s="9">
        <f t="shared" si="3"/>
        <v>1.0053392708333332E-2</v>
      </c>
      <c r="J13" s="10" t="str">
        <f t="shared" si="4"/>
        <v>OK</v>
      </c>
      <c r="K13" s="10" t="str">
        <f t="shared" si="5"/>
        <v>OK</v>
      </c>
    </row>
    <row r="14" spans="2:11" ht="15" x14ac:dyDescent="0.2">
      <c r="B14" s="7" t="s">
        <v>18</v>
      </c>
      <c r="C14" s="7">
        <v>12</v>
      </c>
      <c r="D14" s="11">
        <v>0.36368400000000001</v>
      </c>
      <c r="E14" s="11">
        <v>0.23336599999999999</v>
      </c>
      <c r="F14" s="8">
        <f t="shared" si="0"/>
        <v>2.1639197999999999</v>
      </c>
      <c r="G14" s="8">
        <f t="shared" si="1"/>
        <v>1.3885276999999998</v>
      </c>
      <c r="H14" s="9">
        <f t="shared" si="2"/>
        <v>1.5027220833333334E-2</v>
      </c>
      <c r="I14" s="9">
        <f t="shared" si="3"/>
        <v>9.6425534722222213E-3</v>
      </c>
      <c r="J14" s="10" t="str">
        <f t="shared" si="4"/>
        <v>OK</v>
      </c>
      <c r="K14" s="10" t="str">
        <f t="shared" si="5"/>
        <v>OK</v>
      </c>
    </row>
    <row r="15" spans="2:11" ht="15" x14ac:dyDescent="0.2">
      <c r="B15" s="7" t="s">
        <v>19</v>
      </c>
      <c r="C15" s="7">
        <v>12</v>
      </c>
      <c r="D15" s="11">
        <v>0.34340500000000002</v>
      </c>
      <c r="E15" s="11">
        <v>0.21642800000000001</v>
      </c>
      <c r="F15" s="8">
        <f t="shared" si="0"/>
        <v>2.0432597499999998</v>
      </c>
      <c r="G15" s="8">
        <f t="shared" si="1"/>
        <v>1.2877466</v>
      </c>
      <c r="H15" s="9">
        <f t="shared" si="2"/>
        <v>1.4189303819444443E-2</v>
      </c>
      <c r="I15" s="9">
        <f t="shared" si="3"/>
        <v>8.9426847222222224E-3</v>
      </c>
      <c r="J15" s="10" t="str">
        <f t="shared" si="4"/>
        <v>OK</v>
      </c>
      <c r="K15" s="10" t="str">
        <f t="shared" si="5"/>
        <v>OK</v>
      </c>
    </row>
    <row r="16" spans="2:11" ht="15" x14ac:dyDescent="0.2">
      <c r="B16" s="7" t="s">
        <v>20</v>
      </c>
      <c r="C16" s="7">
        <v>12</v>
      </c>
      <c r="D16" s="11">
        <v>0.30885699999999999</v>
      </c>
      <c r="E16" s="11">
        <v>0.191493</v>
      </c>
      <c r="F16" s="8">
        <f t="shared" si="0"/>
        <v>1.8376991499999997</v>
      </c>
      <c r="G16" s="8">
        <f t="shared" si="1"/>
        <v>1.1393833499999999</v>
      </c>
      <c r="H16" s="9">
        <f t="shared" si="2"/>
        <v>1.2761799652777775E-2</v>
      </c>
      <c r="I16" s="9">
        <f t="shared" si="3"/>
        <v>7.9123843749999995E-3</v>
      </c>
      <c r="J16" s="10" t="str">
        <f t="shared" si="4"/>
        <v>OK</v>
      </c>
      <c r="K16" s="10" t="str">
        <f t="shared" si="5"/>
        <v>OK</v>
      </c>
    </row>
    <row r="17" spans="2:11" ht="15" x14ac:dyDescent="0.2">
      <c r="B17" s="7" t="s">
        <v>21</v>
      </c>
      <c r="C17" s="7">
        <v>12</v>
      </c>
      <c r="D17" s="11">
        <v>0.25716899999999998</v>
      </c>
      <c r="E17" s="11">
        <v>0.157605</v>
      </c>
      <c r="F17" s="8">
        <f t="shared" si="0"/>
        <v>1.5301555499999997</v>
      </c>
      <c r="G17" s="8">
        <f t="shared" si="1"/>
        <v>0.93774974999999983</v>
      </c>
      <c r="H17" s="9">
        <f t="shared" si="2"/>
        <v>1.0626080208333331E-2</v>
      </c>
      <c r="I17" s="9">
        <f t="shared" si="3"/>
        <v>6.5121510416666657E-3</v>
      </c>
      <c r="J17" s="10" t="str">
        <f t="shared" si="4"/>
        <v>OK</v>
      </c>
      <c r="K17" s="10" t="str">
        <f t="shared" si="5"/>
        <v>OK</v>
      </c>
    </row>
    <row r="18" spans="2:11" ht="15" x14ac:dyDescent="0.2">
      <c r="B18" s="7" t="s">
        <v>22</v>
      </c>
      <c r="C18" s="7">
        <v>12</v>
      </c>
      <c r="D18" s="11">
        <v>0.18513199999999999</v>
      </c>
      <c r="E18" s="11">
        <v>0.11425200000000001</v>
      </c>
      <c r="F18" s="8">
        <f t="shared" si="0"/>
        <v>1.1015353999999997</v>
      </c>
      <c r="G18" s="8">
        <f t="shared" si="1"/>
        <v>0.67979939999999994</v>
      </c>
      <c r="H18" s="9">
        <f t="shared" si="2"/>
        <v>7.6495513888888873E-3</v>
      </c>
      <c r="I18" s="9">
        <f t="shared" si="3"/>
        <v>4.7208291666666659E-3</v>
      </c>
      <c r="J18" s="10" t="str">
        <f t="shared" si="4"/>
        <v>OK</v>
      </c>
      <c r="K18" s="10" t="str">
        <f t="shared" si="5"/>
        <v>OK</v>
      </c>
    </row>
    <row r="19" spans="2:11" ht="15" x14ac:dyDescent="0.2">
      <c r="B19" s="7" t="s">
        <v>23</v>
      </c>
      <c r="C19" s="7">
        <v>12</v>
      </c>
      <c r="D19" s="11">
        <v>8.6901999999999993E-2</v>
      </c>
      <c r="E19" s="11">
        <v>5.8521999999999998E-2</v>
      </c>
      <c r="F19" s="8">
        <f t="shared" si="0"/>
        <v>0.51706689999999988</v>
      </c>
      <c r="G19" s="8">
        <f t="shared" si="1"/>
        <v>0.34820589999999996</v>
      </c>
      <c r="H19" s="9">
        <f t="shared" si="2"/>
        <v>3.5907423611111103E-3</v>
      </c>
      <c r="I19" s="9">
        <f t="shared" si="3"/>
        <v>2.4180965277777774E-3</v>
      </c>
      <c r="J19" s="10" t="str">
        <f t="shared" si="4"/>
        <v>OK</v>
      </c>
      <c r="K19" s="10" t="str">
        <f t="shared" si="5"/>
        <v>OK</v>
      </c>
    </row>
    <row r="21" spans="2:11" x14ac:dyDescent="0.2">
      <c r="B21" s="1" t="s">
        <v>24</v>
      </c>
      <c r="H21" s="4">
        <f>MAX(H9:H19)</f>
        <v>1.9460025925925925E-2</v>
      </c>
      <c r="I21" s="4">
        <f>MAX(I9:I19)</f>
        <v>1.0316418518518519E-2</v>
      </c>
    </row>
    <row r="22" spans="2:11" x14ac:dyDescent="0.2">
      <c r="B22" s="1" t="s">
        <v>25</v>
      </c>
      <c r="J22" s="2">
        <f>COUNTIF(J9:J19,"FAIL")</f>
        <v>0</v>
      </c>
      <c r="K22" s="2">
        <f>COUNTIF(K9:K19,"FAIL")</f>
        <v>0</v>
      </c>
    </row>
  </sheetData>
  <mergeCells count="1">
    <mergeCell ref="B3:I3"/>
  </mergeCells>
  <conditionalFormatting sqref="H9:H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{92B044EC-E60B-4196-A52A-61E7890F4DB8}</x14:id>
        </ext>
      </extLs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I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{4AE78E99-2A7B-4999-A4F5-AA39C6B60D16}</x14:id>
        </ext>
      </extLst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K19">
    <cfRule type="cellIs" dxfId="1" priority="6" operator="equal">
      <formula>"FAIL"</formula>
    </cfRule>
    <cfRule type="cellIs" dxfId="0" priority="7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B044EC-E60B-4196-A52A-61E7890F4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H9:H19</xm:sqref>
        </x14:conditionalFormatting>
        <x14:conditionalFormatting xmlns:xm="http://schemas.microsoft.com/office/excel/2006/main">
          <x14:cfRule type="dataBar" id="{4AE78E99-2A7B-4999-A4F5-AA39C6B60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I9:I19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 Drift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Tufail Mabood</cp:lastModifiedBy>
  <cp:revision>0</cp:revision>
  <dcterms:created xsi:type="dcterms:W3CDTF">2026-09-09T09:32:43Z</dcterms:created>
  <dcterms:modified xsi:type="dcterms:W3CDTF">2026-09-18T06:55:10Z</dcterms:modified>
  <dc:language>en-US</dc:language>
</cp:coreProperties>
</file>